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shboard" sheetId="2" state="visible" r:id="rId4"/>
    <sheet name="Setup" sheetId="3" state="visible" r:id="rId5"/>
    <sheet name="Sales_Ledger" sheetId="4" state="visible" r:id="rId6"/>
    <sheet name="Collections" sheetId="5" state="visible" r:id="rId7"/>
    <sheet name="Cash_Book" sheetId="6" state="visible" r:id="rId8"/>
    <sheet name="Bank_Statement" sheetId="7" state="visible" r:id="rId9"/>
    <sheet name="Bank_Recon" sheetId="8" state="visible" r:id="rId10"/>
    <sheet name="Receivables" sheetId="9" state="visible" r:id="rId11"/>
    <sheet name="Controls" sheetId="10" state="visible" r:id="rId12"/>
  </sheets>
  <definedNames>
    <definedName function="false" hidden="true" localSheetId="6" name="_xlnm._FilterDatabase" vbProcedure="false">Bank_Statement!$A$5:$I$303</definedName>
    <definedName function="false" hidden="true" localSheetId="5" name="_xlnm._FilterDatabase" vbProcedure="false">Cash_Book!$A$5:$J$304</definedName>
    <definedName function="false" hidden="true" localSheetId="4" name="_xlnm._FilterDatabase" vbProcedure="false">Collections!$A$5:$H$239</definedName>
    <definedName function="false" hidden="true" localSheetId="3" name="_xlnm._FilterDatabase" vbProcedure="false">Sales_Ledger!$A$5:$K$285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<sst xmlns="http://schemas.openxmlformats.org/spreadsheetml/2006/main" count="4185" uniqueCount="1676">
  <si>
    <t xml:space="preserve">Bank Reconciliation, Receivables Ageing and MIS Dashboard</t>
  </si>
  <si>
    <t xml:space="preserve">Demo Foods Distribution Pvt Ltd: April to September 2026 (sample data)</t>
  </si>
  <si>
    <t xml:space="preserve">Cash book to bank statement reconciliation, receivables ageing by customer and region, and a monthly MIS dashboard</t>
  </si>
  <si>
    <t xml:space="preserve">Prepared by</t>
  </si>
  <si>
    <t xml:space="preserve">Vanshika Jindal</t>
  </si>
  <si>
    <t xml:space="preserve">Date</t>
  </si>
  <si>
    <t xml:space="preserve">October 2026</t>
  </si>
  <si>
    <t xml:space="preserve">Sheet</t>
  </si>
  <si>
    <t xml:space="preserve">What it contains</t>
  </si>
  <si>
    <t xml:space="preserve">Dashboard</t>
  </si>
  <si>
    <t xml:space="preserve">Month selector, sales vs collections, receivables trend, ageing, top customers, regions, and reconciliation status</t>
  </si>
  <si>
    <t xml:space="preserve">Setup</t>
  </si>
  <si>
    <t xml:space="preserve">As-of date, opening balances, customer master (region and credit days), month list</t>
  </si>
  <si>
    <t xml:space="preserve">Sales_Ledger</t>
  </si>
  <si>
    <t xml:space="preserve">Invoices with due date, amount received, outstanding, days past due and ageing bucket</t>
  </si>
  <si>
    <t xml:space="preserve">Collections</t>
  </si>
  <si>
    <t xml:space="preserve">Customer receipts applied to invoices</t>
  </si>
  <si>
    <t xml:space="preserve">Cash_Book</t>
  </si>
  <si>
    <t xml:space="preserve">The company's bank receipts and payments, each matched to the bank statement by reference</t>
  </si>
  <si>
    <t xml:space="preserve">Bank_Statement</t>
  </si>
  <si>
    <t xml:space="preserve">Bank entries with running balance, each checked against the cash book</t>
  </si>
  <si>
    <t xml:space="preserve">Bank_Recon</t>
  </si>
  <si>
    <t xml:space="preserve">Bank reconciliation statement, exception summary with actions, and journals to pass</t>
  </si>
  <si>
    <t xml:space="preserve">Receivables</t>
  </si>
  <si>
    <t xml:space="preserve">Ageing summary, customer-wise ageing, region summary, days sales outstanding</t>
  </si>
  <si>
    <t xml:space="preserve">Controls</t>
  </si>
  <si>
    <t xml:space="preserve">18 checks that compare figures that must agree</t>
  </si>
  <si>
    <t xml:space="preserve">How the pieces connect</t>
  </si>
  <si>
    <t xml:space="preserve">Invoices go into the sales ledger. Customer receipts are logged in the collections register and reduce what each invoice has outstanding.</t>
  </si>
  <si>
    <t xml:space="preserve">Each receipt and payment is entered in the cash book with the bank reference. The bank statement is matched to it on that reference.</t>
  </si>
  <si>
    <t xml:space="preserve">Whatever does not match is classed as a timing item, an amount difference, or something only the bank knows about. The reconciliation statement proves the cash book balance to the bank balance.</t>
  </si>
  <si>
    <t xml:space="preserve">About the data</t>
  </si>
  <si>
    <t xml:space="preserve">Sample data. The business, customers, invoices, receipts and bank entries are illustrative and were created for this exercise; they are not records of a real company. The reconciling items (timing differences, a transposed amount, unrecorded bank charges and interest, an unidentified deposit) are deliberately included to show how each is handled.</t>
  </si>
  <si>
    <t xml:space="preserve">Colour code</t>
  </si>
  <si>
    <t xml:space="preserve">Blue text</t>
  </si>
  <si>
    <t xml:space="preserve">Typed value</t>
  </si>
  <si>
    <t xml:space="preserve">Black text</t>
  </si>
  <si>
    <t xml:space="preserve">Formula</t>
  </si>
  <si>
    <t xml:space="preserve">Green text</t>
  </si>
  <si>
    <t xml:space="preserve">Link to another sheet</t>
  </si>
  <si>
    <t xml:space="preserve">Yellow fill</t>
  </si>
  <si>
    <t xml:space="preserve">Cell you can change (as-of date, opening balances, month selector)</t>
  </si>
  <si>
    <t xml:space="preserve">MIS dashboard: sales, collections and receivables</t>
  </si>
  <si>
    <t xml:space="preserve">Pick a month in the yellow cell. Charts and tables read from the ledger, collections and reconciliation sheets.</t>
  </si>
  <si>
    <t xml:space="preserve">Select month</t>
  </si>
  <si>
    <t xml:space="preserve">Sep-26</t>
  </si>
  <si>
    <t xml:space="preserve">Period</t>
  </si>
  <si>
    <t xml:space="preserve">Selected month</t>
  </si>
  <si>
    <t xml:space="preserve">Sales billed (₹)</t>
  </si>
  <si>
    <t xml:space="preserve">Invoices raised</t>
  </si>
  <si>
    <t xml:space="preserve">Collections received (₹)</t>
  </si>
  <si>
    <t xml:space="preserve">Collections as % of sales billed</t>
  </si>
  <si>
    <t xml:space="preserve">Receivables at month-end (₹)</t>
  </si>
  <si>
    <t xml:space="preserve">Position at as-of date</t>
  </si>
  <si>
    <t xml:space="preserve">Total outstanding (₹)</t>
  </si>
  <si>
    <t xml:space="preserve">Overdue (₹)</t>
  </si>
  <si>
    <t xml:space="preserve">Overdue as % of outstanding</t>
  </si>
  <si>
    <t xml:space="preserve">Over 60 days (₹)</t>
  </si>
  <si>
    <t xml:space="preserve">Days sales outstanding</t>
  </si>
  <si>
    <t xml:space="preserve">Bank reconciliation: unexplained difference (₹)</t>
  </si>
  <si>
    <t xml:space="preserve">Bank reconciliation: open items</t>
  </si>
  <si>
    <t xml:space="preserve">Month by month</t>
  </si>
  <si>
    <t xml:space="preserve">Month</t>
  </si>
  <si>
    <t xml:space="preserve">Month end</t>
  </si>
  <si>
    <t xml:space="preserve">Collections (₹)</t>
  </si>
  <si>
    <t xml:space="preserve">Collections % of sales</t>
  </si>
  <si>
    <t xml:space="preserve">Period total</t>
  </si>
  <si>
    <t xml:space="preserve">Top 5 customers by outstanding</t>
  </si>
  <si>
    <t xml:space="preserve">By region</t>
  </si>
  <si>
    <t xml:space="preserve">Customer</t>
  </si>
  <si>
    <t xml:space="preserve">Outstanding (₹)</t>
  </si>
  <si>
    <t xml:space="preserve">% of total</t>
  </si>
  <si>
    <t xml:space="preserve">Region</t>
  </si>
  <si>
    <t xml:space="preserve">Billed (₹)</t>
  </si>
  <si>
    <t xml:space="preserve">% overdue</t>
  </si>
  <si>
    <t xml:space="preserve">Parameters and masters used by every other sheet. Yellow cells can be changed.</t>
  </si>
  <si>
    <t xml:space="preserve">Business (sample)</t>
  </si>
  <si>
    <t xml:space="preserve">Demo Foods Distribution Pvt Ltd</t>
  </si>
  <si>
    <t xml:space="preserve">As-of date</t>
  </si>
  <si>
    <t xml:space="preserve">Period start</t>
  </si>
  <si>
    <t xml:space="preserve">Opening balance per cash book (₹)</t>
  </si>
  <si>
    <t xml:space="preserve">Opening balance per bank statement (₹)</t>
  </si>
  <si>
    <t xml:space="preserve">Opening balances are assumed to be reconciled at the start date.</t>
  </si>
  <si>
    <t xml:space="preserve">Match tolerance (₹)</t>
  </si>
  <si>
    <t xml:space="preserve">Credit days</t>
  </si>
  <si>
    <t xml:space="preserve">Month start</t>
  </si>
  <si>
    <t xml:space="preserve">Month no.</t>
  </si>
  <si>
    <t xml:space="preserve">Hooghly Foods, Kolkata</t>
  </si>
  <si>
    <t xml:space="preserve">East</t>
  </si>
  <si>
    <t xml:space="preserve">Apr-26</t>
  </si>
  <si>
    <t xml:space="preserve">Brahmaputra Traders, Guwahati</t>
  </si>
  <si>
    <t xml:space="preserve">May-26</t>
  </si>
  <si>
    <t xml:space="preserve">Magadh Agencies, Patna</t>
  </si>
  <si>
    <t xml:space="preserve">Jun-26</t>
  </si>
  <si>
    <t xml:space="preserve">Konkan Distributors, Mumbai</t>
  </si>
  <si>
    <t xml:space="preserve">West</t>
  </si>
  <si>
    <t xml:space="preserve">Jul-26</t>
  </si>
  <si>
    <t xml:space="preserve">Narmada Foods, Surat</t>
  </si>
  <si>
    <t xml:space="preserve">Aug-26</t>
  </si>
  <si>
    <t xml:space="preserve">Marwar Agencies, Jaipur</t>
  </si>
  <si>
    <t xml:space="preserve">Yamuna Traders, Delhi</t>
  </si>
  <si>
    <t xml:space="preserve">North</t>
  </si>
  <si>
    <t xml:space="preserve">Satluj Foods, Ludhiana</t>
  </si>
  <si>
    <t xml:space="preserve">Doon Distributors, Dehradun</t>
  </si>
  <si>
    <t xml:space="preserve">Awadh Agencies, Lucknow</t>
  </si>
  <si>
    <t xml:space="preserve">Cauvery Foods, Bengaluru</t>
  </si>
  <si>
    <t xml:space="preserve">South</t>
  </si>
  <si>
    <t xml:space="preserve">Coromandel Traders, Chennai</t>
  </si>
  <si>
    <t xml:space="preserve">Krishna Distributors, Hyderabad</t>
  </si>
  <si>
    <t xml:space="preserve">Periyar Agencies, Kochi</t>
  </si>
  <si>
    <t xml:space="preserve">Sales ledger</t>
  </si>
  <si>
    <t xml:space="preserve">Invoices raised, with collections, outstanding and ageing worked out by formula. March invoices are the receivables brought forward.</t>
  </si>
  <si>
    <t xml:space="preserve">Invoice no.</t>
  </si>
  <si>
    <t xml:space="preserve">Product line</t>
  </si>
  <si>
    <t xml:space="preserve">Amount (₹)</t>
  </si>
  <si>
    <t xml:space="preserve">Due date</t>
  </si>
  <si>
    <t xml:space="preserve">Received (₹)</t>
  </si>
  <si>
    <t xml:space="preserve">Days past due</t>
  </si>
  <si>
    <t xml:space="preserve">Ageing bucket</t>
  </si>
  <si>
    <t xml:space="preserve">INV/26-27/0001</t>
  </si>
  <si>
    <t xml:space="preserve">Cakes</t>
  </si>
  <si>
    <t xml:space="preserve">INV/26-27/0002</t>
  </si>
  <si>
    <t xml:space="preserve">Biscuits</t>
  </si>
  <si>
    <t xml:space="preserve">INV/26-27/0003</t>
  </si>
  <si>
    <t xml:space="preserve">INV/26-27/0004</t>
  </si>
  <si>
    <t xml:space="preserve">INV/26-27/0005</t>
  </si>
  <si>
    <t xml:space="preserve">INV/26-27/0006</t>
  </si>
  <si>
    <t xml:space="preserve">INV/26-27/0007</t>
  </si>
  <si>
    <t xml:space="preserve">Rusk</t>
  </si>
  <si>
    <t xml:space="preserve">INV/26-27/0008</t>
  </si>
  <si>
    <t xml:space="preserve">INV/26-27/0009</t>
  </si>
  <si>
    <t xml:space="preserve">INV/26-27/0010</t>
  </si>
  <si>
    <t xml:space="preserve">INV/26-27/0011</t>
  </si>
  <si>
    <t xml:space="preserve">Dairy</t>
  </si>
  <si>
    <t xml:space="preserve">INV/26-27/0012</t>
  </si>
  <si>
    <t xml:space="preserve">INV/26-27/0013</t>
  </si>
  <si>
    <t xml:space="preserve">INV/26-27/0014</t>
  </si>
  <si>
    <t xml:space="preserve">INV/26-27/0015</t>
  </si>
  <si>
    <t xml:space="preserve">INV/26-27/0016</t>
  </si>
  <si>
    <t xml:space="preserve">INV/26-27/0017</t>
  </si>
  <si>
    <t xml:space="preserve">INV/26-27/0018</t>
  </si>
  <si>
    <t xml:space="preserve">INV/26-27/0019</t>
  </si>
  <si>
    <t xml:space="preserve">INV/26-27/0020</t>
  </si>
  <si>
    <t xml:space="preserve">INV/26-27/0021</t>
  </si>
  <si>
    <t xml:space="preserve">INV/26-27/0022</t>
  </si>
  <si>
    <t xml:space="preserve">INV/26-27/0023</t>
  </si>
  <si>
    <t xml:space="preserve">INV/26-27/0024</t>
  </si>
  <si>
    <t xml:space="preserve">INV/26-27/0025</t>
  </si>
  <si>
    <t xml:space="preserve">INV/26-27/0026</t>
  </si>
  <si>
    <t xml:space="preserve">INV/26-27/0027</t>
  </si>
  <si>
    <t xml:space="preserve">INV/26-27/0028</t>
  </si>
  <si>
    <t xml:space="preserve">INV/26-27/0029</t>
  </si>
  <si>
    <t xml:space="preserve">INV/26-27/0030</t>
  </si>
  <si>
    <t xml:space="preserve">INV/26-27/0031</t>
  </si>
  <si>
    <t xml:space="preserve">INV/26-27/0032</t>
  </si>
  <si>
    <t xml:space="preserve">INV/26-27/0033</t>
  </si>
  <si>
    <t xml:space="preserve">INV/26-27/0034</t>
  </si>
  <si>
    <t xml:space="preserve">INV/26-27/0035</t>
  </si>
  <si>
    <t xml:space="preserve">INV/26-27/0036</t>
  </si>
  <si>
    <t xml:space="preserve">INV/26-27/0037</t>
  </si>
  <si>
    <t xml:space="preserve">INV/26-27/0038</t>
  </si>
  <si>
    <t xml:space="preserve">INV/26-27/0039</t>
  </si>
  <si>
    <t xml:space="preserve">INV/26-27/0040</t>
  </si>
  <si>
    <t xml:space="preserve">INV/26-27/0041</t>
  </si>
  <si>
    <t xml:space="preserve">INV/26-27/0042</t>
  </si>
  <si>
    <t xml:space="preserve">INV/26-27/0043</t>
  </si>
  <si>
    <t xml:space="preserve">INV/26-27/0044</t>
  </si>
  <si>
    <t xml:space="preserve">INV/26-27/0045</t>
  </si>
  <si>
    <t xml:space="preserve">INV/26-27/0046</t>
  </si>
  <si>
    <t xml:space="preserve">INV/26-27/0047</t>
  </si>
  <si>
    <t xml:space="preserve">INV/26-27/0048</t>
  </si>
  <si>
    <t xml:space="preserve">INV/26-27/0049</t>
  </si>
  <si>
    <t xml:space="preserve">INV/26-27/0050</t>
  </si>
  <si>
    <t xml:space="preserve">INV/26-27/0051</t>
  </si>
  <si>
    <t xml:space="preserve">INV/26-27/0052</t>
  </si>
  <si>
    <t xml:space="preserve">INV/26-27/0053</t>
  </si>
  <si>
    <t xml:space="preserve">INV/26-27/0054</t>
  </si>
  <si>
    <t xml:space="preserve">INV/26-27/0055</t>
  </si>
  <si>
    <t xml:space="preserve">INV/26-27/0056</t>
  </si>
  <si>
    <t xml:space="preserve">INV/26-27/0057</t>
  </si>
  <si>
    <t xml:space="preserve">INV/26-27/0058</t>
  </si>
  <si>
    <t xml:space="preserve">INV/26-27/0059</t>
  </si>
  <si>
    <t xml:space="preserve">INV/26-27/0060</t>
  </si>
  <si>
    <t xml:space="preserve">INV/26-27/0061</t>
  </si>
  <si>
    <t xml:space="preserve">INV/26-27/0062</t>
  </si>
  <si>
    <t xml:space="preserve">INV/26-27/0063</t>
  </si>
  <si>
    <t xml:space="preserve">INV/26-27/0064</t>
  </si>
  <si>
    <t xml:space="preserve">INV/26-27/0065</t>
  </si>
  <si>
    <t xml:space="preserve">INV/26-27/0066</t>
  </si>
  <si>
    <t xml:space="preserve">INV/26-27/0067</t>
  </si>
  <si>
    <t xml:space="preserve">INV/26-27/0068</t>
  </si>
  <si>
    <t xml:space="preserve">INV/26-27/0069</t>
  </si>
  <si>
    <t xml:space="preserve">INV/26-27/0070</t>
  </si>
  <si>
    <t xml:space="preserve">INV/26-27/0071</t>
  </si>
  <si>
    <t xml:space="preserve">INV/26-27/0072</t>
  </si>
  <si>
    <t xml:space="preserve">INV/26-27/0073</t>
  </si>
  <si>
    <t xml:space="preserve">INV/26-27/0074</t>
  </si>
  <si>
    <t xml:space="preserve">INV/26-27/0075</t>
  </si>
  <si>
    <t xml:space="preserve">INV/26-27/0076</t>
  </si>
  <si>
    <t xml:space="preserve">INV/26-27/0077</t>
  </si>
  <si>
    <t xml:space="preserve">INV/26-27/0078</t>
  </si>
  <si>
    <t xml:space="preserve">INV/26-27/0079</t>
  </si>
  <si>
    <t xml:space="preserve">INV/26-27/0080</t>
  </si>
  <si>
    <t xml:space="preserve">INV/26-27/0081</t>
  </si>
  <si>
    <t xml:space="preserve">INV/26-27/0082</t>
  </si>
  <si>
    <t xml:space="preserve">INV/26-27/0083</t>
  </si>
  <si>
    <t xml:space="preserve">INV/26-27/0084</t>
  </si>
  <si>
    <t xml:space="preserve">INV/26-27/0085</t>
  </si>
  <si>
    <t xml:space="preserve">INV/26-27/0086</t>
  </si>
  <si>
    <t xml:space="preserve">INV/26-27/0087</t>
  </si>
  <si>
    <t xml:space="preserve">INV/26-27/0088</t>
  </si>
  <si>
    <t xml:space="preserve">INV/26-27/0089</t>
  </si>
  <si>
    <t xml:space="preserve">INV/26-27/0090</t>
  </si>
  <si>
    <t xml:space="preserve">INV/26-27/0091</t>
  </si>
  <si>
    <t xml:space="preserve">INV/26-27/0092</t>
  </si>
  <si>
    <t xml:space="preserve">INV/26-27/0093</t>
  </si>
  <si>
    <t xml:space="preserve">INV/26-27/0094</t>
  </si>
  <si>
    <t xml:space="preserve">INV/26-27/0095</t>
  </si>
  <si>
    <t xml:space="preserve">INV/26-27/0096</t>
  </si>
  <si>
    <t xml:space="preserve">INV/26-27/0097</t>
  </si>
  <si>
    <t xml:space="preserve">INV/26-27/0098</t>
  </si>
  <si>
    <t xml:space="preserve">INV/26-27/0099</t>
  </si>
  <si>
    <t xml:space="preserve">INV/26-27/0100</t>
  </si>
  <si>
    <t xml:space="preserve">INV/26-27/0101</t>
  </si>
  <si>
    <t xml:space="preserve">INV/26-27/0102</t>
  </si>
  <si>
    <t xml:space="preserve">INV/26-27/0103</t>
  </si>
  <si>
    <t xml:space="preserve">INV/26-27/0104</t>
  </si>
  <si>
    <t xml:space="preserve">INV/26-27/0105</t>
  </si>
  <si>
    <t xml:space="preserve">INV/26-27/0106</t>
  </si>
  <si>
    <t xml:space="preserve">INV/26-27/0107</t>
  </si>
  <si>
    <t xml:space="preserve">INV/26-27/0108</t>
  </si>
  <si>
    <t xml:space="preserve">INV/26-27/0109</t>
  </si>
  <si>
    <t xml:space="preserve">INV/26-27/0110</t>
  </si>
  <si>
    <t xml:space="preserve">INV/26-27/0111</t>
  </si>
  <si>
    <t xml:space="preserve">INV/26-27/0112</t>
  </si>
  <si>
    <t xml:space="preserve">INV/26-27/0113</t>
  </si>
  <si>
    <t xml:space="preserve">INV/26-27/0114</t>
  </si>
  <si>
    <t xml:space="preserve">INV/26-27/0115</t>
  </si>
  <si>
    <t xml:space="preserve">INV/26-27/0116</t>
  </si>
  <si>
    <t xml:space="preserve">INV/26-27/0117</t>
  </si>
  <si>
    <t xml:space="preserve">INV/26-27/0118</t>
  </si>
  <si>
    <t xml:space="preserve">INV/26-27/0119</t>
  </si>
  <si>
    <t xml:space="preserve">INV/26-27/0120</t>
  </si>
  <si>
    <t xml:space="preserve">INV/26-27/0121</t>
  </si>
  <si>
    <t xml:space="preserve">INV/26-27/0122</t>
  </si>
  <si>
    <t xml:space="preserve">INV/26-27/0123</t>
  </si>
  <si>
    <t xml:space="preserve">INV/26-27/0124</t>
  </si>
  <si>
    <t xml:space="preserve">INV/26-27/0125</t>
  </si>
  <si>
    <t xml:space="preserve">INV/26-27/0126</t>
  </si>
  <si>
    <t xml:space="preserve">INV/26-27/0127</t>
  </si>
  <si>
    <t xml:space="preserve">INV/26-27/0128</t>
  </si>
  <si>
    <t xml:space="preserve">INV/26-27/0129</t>
  </si>
  <si>
    <t xml:space="preserve">INV/26-27/0130</t>
  </si>
  <si>
    <t xml:space="preserve">INV/26-27/0131</t>
  </si>
  <si>
    <t xml:space="preserve">INV/26-27/0132</t>
  </si>
  <si>
    <t xml:space="preserve">INV/26-27/0133</t>
  </si>
  <si>
    <t xml:space="preserve">INV/26-27/0134</t>
  </si>
  <si>
    <t xml:space="preserve">INV/26-27/0135</t>
  </si>
  <si>
    <t xml:space="preserve">INV/26-27/0136</t>
  </si>
  <si>
    <t xml:space="preserve">INV/26-27/0137</t>
  </si>
  <si>
    <t xml:space="preserve">INV/26-27/0138</t>
  </si>
  <si>
    <t xml:space="preserve">INV/26-27/0139</t>
  </si>
  <si>
    <t xml:space="preserve">INV/26-27/0140</t>
  </si>
  <si>
    <t xml:space="preserve">INV/26-27/0141</t>
  </si>
  <si>
    <t xml:space="preserve">INV/26-27/0142</t>
  </si>
  <si>
    <t xml:space="preserve">INV/26-27/0143</t>
  </si>
  <si>
    <t xml:space="preserve">INV/26-27/0144</t>
  </si>
  <si>
    <t xml:space="preserve">INV/26-27/0145</t>
  </si>
  <si>
    <t xml:space="preserve">INV/26-27/0146</t>
  </si>
  <si>
    <t xml:space="preserve">INV/26-27/0147</t>
  </si>
  <si>
    <t xml:space="preserve">INV/26-27/0148</t>
  </si>
  <si>
    <t xml:space="preserve">INV/26-27/0149</t>
  </si>
  <si>
    <t xml:space="preserve">INV/26-27/0150</t>
  </si>
  <si>
    <t xml:space="preserve">INV/26-27/0151</t>
  </si>
  <si>
    <t xml:space="preserve">INV/26-27/0152</t>
  </si>
  <si>
    <t xml:space="preserve">INV/26-27/0153</t>
  </si>
  <si>
    <t xml:space="preserve">INV/26-27/0154</t>
  </si>
  <si>
    <t xml:space="preserve">INV/26-27/0155</t>
  </si>
  <si>
    <t xml:space="preserve">INV/26-27/0156</t>
  </si>
  <si>
    <t xml:space="preserve">INV/26-27/0157</t>
  </si>
  <si>
    <t xml:space="preserve">INV/26-27/0158</t>
  </si>
  <si>
    <t xml:space="preserve">INV/26-27/0159</t>
  </si>
  <si>
    <t xml:space="preserve">INV/26-27/0160</t>
  </si>
  <si>
    <t xml:space="preserve">INV/26-27/0161</t>
  </si>
  <si>
    <t xml:space="preserve">INV/26-27/0162</t>
  </si>
  <si>
    <t xml:space="preserve">INV/26-27/0163</t>
  </si>
  <si>
    <t xml:space="preserve">INV/26-27/0164</t>
  </si>
  <si>
    <t xml:space="preserve">INV/26-27/0165</t>
  </si>
  <si>
    <t xml:space="preserve">INV/26-27/0166</t>
  </si>
  <si>
    <t xml:space="preserve">INV/26-27/0167</t>
  </si>
  <si>
    <t xml:space="preserve">INV/26-27/0168</t>
  </si>
  <si>
    <t xml:space="preserve">INV/26-27/0169</t>
  </si>
  <si>
    <t xml:space="preserve">INV/26-27/0170</t>
  </si>
  <si>
    <t xml:space="preserve">INV/26-27/0171</t>
  </si>
  <si>
    <t xml:space="preserve">INV/26-27/0172</t>
  </si>
  <si>
    <t xml:space="preserve">INV/26-27/0173</t>
  </si>
  <si>
    <t xml:space="preserve">INV/26-27/0174</t>
  </si>
  <si>
    <t xml:space="preserve">INV/26-27/0175</t>
  </si>
  <si>
    <t xml:space="preserve">INV/26-27/0176</t>
  </si>
  <si>
    <t xml:space="preserve">INV/26-27/0177</t>
  </si>
  <si>
    <t xml:space="preserve">INV/26-27/0178</t>
  </si>
  <si>
    <t xml:space="preserve">INV/26-27/0179</t>
  </si>
  <si>
    <t xml:space="preserve">INV/26-27/0180</t>
  </si>
  <si>
    <t xml:space="preserve">INV/26-27/0181</t>
  </si>
  <si>
    <t xml:space="preserve">INV/26-27/0182</t>
  </si>
  <si>
    <t xml:space="preserve">INV/26-27/0183</t>
  </si>
  <si>
    <t xml:space="preserve">INV/26-27/0184</t>
  </si>
  <si>
    <t xml:space="preserve">INV/26-27/0185</t>
  </si>
  <si>
    <t xml:space="preserve">INV/26-27/0186</t>
  </si>
  <si>
    <t xml:space="preserve">INV/26-27/0187</t>
  </si>
  <si>
    <t xml:space="preserve">INV/26-27/0188</t>
  </si>
  <si>
    <t xml:space="preserve">INV/26-27/0189</t>
  </si>
  <si>
    <t xml:space="preserve">INV/26-27/0190</t>
  </si>
  <si>
    <t xml:space="preserve">INV/26-27/0191</t>
  </si>
  <si>
    <t xml:space="preserve">INV/26-27/0192</t>
  </si>
  <si>
    <t xml:space="preserve">INV/26-27/0193</t>
  </si>
  <si>
    <t xml:space="preserve">INV/26-27/0194</t>
  </si>
  <si>
    <t xml:space="preserve">INV/26-27/0195</t>
  </si>
  <si>
    <t xml:space="preserve">INV/26-27/0196</t>
  </si>
  <si>
    <t xml:space="preserve">INV/26-27/0197</t>
  </si>
  <si>
    <t xml:space="preserve">INV/26-27/0198</t>
  </si>
  <si>
    <t xml:space="preserve">INV/26-27/0199</t>
  </si>
  <si>
    <t xml:space="preserve">INV/26-27/0200</t>
  </si>
  <si>
    <t xml:space="preserve">INV/26-27/0201</t>
  </si>
  <si>
    <t xml:space="preserve">INV/26-27/0202</t>
  </si>
  <si>
    <t xml:space="preserve">INV/26-27/0203</t>
  </si>
  <si>
    <t xml:space="preserve">INV/26-27/0204</t>
  </si>
  <si>
    <t xml:space="preserve">INV/26-27/0205</t>
  </si>
  <si>
    <t xml:space="preserve">INV/26-27/0206</t>
  </si>
  <si>
    <t xml:space="preserve">INV/26-27/0207</t>
  </si>
  <si>
    <t xml:space="preserve">INV/26-27/0208</t>
  </si>
  <si>
    <t xml:space="preserve">INV/26-27/0209</t>
  </si>
  <si>
    <t xml:space="preserve">INV/26-27/0210</t>
  </si>
  <si>
    <t xml:space="preserve">INV/26-27/0211</t>
  </si>
  <si>
    <t xml:space="preserve">INV/26-27/0212</t>
  </si>
  <si>
    <t xml:space="preserve">INV/26-27/0213</t>
  </si>
  <si>
    <t xml:space="preserve">INV/26-27/0214</t>
  </si>
  <si>
    <t xml:space="preserve">INV/26-27/0215</t>
  </si>
  <si>
    <t xml:space="preserve">INV/26-27/0216</t>
  </si>
  <si>
    <t xml:space="preserve">INV/26-27/0217</t>
  </si>
  <si>
    <t xml:space="preserve">INV/26-27/0218</t>
  </si>
  <si>
    <t xml:space="preserve">INV/26-27/0219</t>
  </si>
  <si>
    <t xml:space="preserve">INV/26-27/0220</t>
  </si>
  <si>
    <t xml:space="preserve">INV/26-27/0221</t>
  </si>
  <si>
    <t xml:space="preserve">INV/26-27/0222</t>
  </si>
  <si>
    <t xml:space="preserve">INV/26-27/0223</t>
  </si>
  <si>
    <t xml:space="preserve">INV/26-27/0224</t>
  </si>
  <si>
    <t xml:space="preserve">INV/26-27/0225</t>
  </si>
  <si>
    <t xml:space="preserve">INV/26-27/0226</t>
  </si>
  <si>
    <t xml:space="preserve">INV/26-27/0227</t>
  </si>
  <si>
    <t xml:space="preserve">INV/26-27/0228</t>
  </si>
  <si>
    <t xml:space="preserve">INV/26-27/0229</t>
  </si>
  <si>
    <t xml:space="preserve">INV/26-27/0230</t>
  </si>
  <si>
    <t xml:space="preserve">INV/26-27/0231</t>
  </si>
  <si>
    <t xml:space="preserve">INV/26-27/0232</t>
  </si>
  <si>
    <t xml:space="preserve">INV/26-27/0233</t>
  </si>
  <si>
    <t xml:space="preserve">INV/26-27/0234</t>
  </si>
  <si>
    <t xml:space="preserve">INV/26-27/0235</t>
  </si>
  <si>
    <t xml:space="preserve">INV/26-27/0236</t>
  </si>
  <si>
    <t xml:space="preserve">INV/26-27/0237</t>
  </si>
  <si>
    <t xml:space="preserve">INV/26-27/0238</t>
  </si>
  <si>
    <t xml:space="preserve">INV/26-27/0239</t>
  </si>
  <si>
    <t xml:space="preserve">INV/26-27/0240</t>
  </si>
  <si>
    <t xml:space="preserve">INV/26-27/0241</t>
  </si>
  <si>
    <t xml:space="preserve">INV/26-27/0242</t>
  </si>
  <si>
    <t xml:space="preserve">INV/26-27/0243</t>
  </si>
  <si>
    <t xml:space="preserve">INV/26-27/0244</t>
  </si>
  <si>
    <t xml:space="preserve">INV/26-27/0245</t>
  </si>
  <si>
    <t xml:space="preserve">INV/26-27/0246</t>
  </si>
  <si>
    <t xml:space="preserve">INV/26-27/0247</t>
  </si>
  <si>
    <t xml:space="preserve">INV/26-27/0248</t>
  </si>
  <si>
    <t xml:space="preserve">INV/26-27/0249</t>
  </si>
  <si>
    <t xml:space="preserve">INV/26-27/0250</t>
  </si>
  <si>
    <t xml:space="preserve">INV/26-27/0251</t>
  </si>
  <si>
    <t xml:space="preserve">INV/26-27/0252</t>
  </si>
  <si>
    <t xml:space="preserve">INV/26-27/0253</t>
  </si>
  <si>
    <t xml:space="preserve">INV/26-27/0254</t>
  </si>
  <si>
    <t xml:space="preserve">INV/26-27/0255</t>
  </si>
  <si>
    <t xml:space="preserve">INV/26-27/0256</t>
  </si>
  <si>
    <t xml:space="preserve">INV/26-27/0257</t>
  </si>
  <si>
    <t xml:space="preserve">INV/26-27/0258</t>
  </si>
  <si>
    <t xml:space="preserve">INV/26-27/0259</t>
  </si>
  <si>
    <t xml:space="preserve">INV/26-27/0260</t>
  </si>
  <si>
    <t xml:space="preserve">INV/26-27/0261</t>
  </si>
  <si>
    <t xml:space="preserve">INV/26-27/0262</t>
  </si>
  <si>
    <t xml:space="preserve">INV/26-27/0263</t>
  </si>
  <si>
    <t xml:space="preserve">INV/26-27/0264</t>
  </si>
  <si>
    <t xml:space="preserve">INV/26-27/0265</t>
  </si>
  <si>
    <t xml:space="preserve">INV/26-27/0266</t>
  </si>
  <si>
    <t xml:space="preserve">INV/26-27/0267</t>
  </si>
  <si>
    <t xml:space="preserve">INV/26-27/0268</t>
  </si>
  <si>
    <t xml:space="preserve">INV/26-27/0269</t>
  </si>
  <si>
    <t xml:space="preserve">INV/26-27/0270</t>
  </si>
  <si>
    <t xml:space="preserve">INV/26-27/0271</t>
  </si>
  <si>
    <t xml:space="preserve">INV/26-27/0272</t>
  </si>
  <si>
    <t xml:space="preserve">INV/26-27/0273</t>
  </si>
  <si>
    <t xml:space="preserve">INV/26-27/0274</t>
  </si>
  <si>
    <t xml:space="preserve">INV/26-27/0275</t>
  </si>
  <si>
    <t xml:space="preserve">INV/26-27/0276</t>
  </si>
  <si>
    <t xml:space="preserve">INV/26-27/0277</t>
  </si>
  <si>
    <t xml:space="preserve">INV/26-27/0278</t>
  </si>
  <si>
    <t xml:space="preserve">INV/26-27/0279</t>
  </si>
  <si>
    <t xml:space="preserve">INV/26-27/0280</t>
  </si>
  <si>
    <t xml:space="preserve">Collections register</t>
  </si>
  <si>
    <t xml:space="preserve">Customer receipts applied to invoices. One invoice can have more than one receipt.</t>
  </si>
  <si>
    <t xml:space="preserve">Receipt no.</t>
  </si>
  <si>
    <t xml:space="preserve">Mode</t>
  </si>
  <si>
    <t xml:space="preserve">Bank reference</t>
  </si>
  <si>
    <t xml:space="preserve">Invoice date</t>
  </si>
  <si>
    <t xml:space="preserve">RCP-26-0001</t>
  </si>
  <si>
    <t xml:space="preserve">NEFT</t>
  </si>
  <si>
    <t xml:space="preserve">UTR3584034599</t>
  </si>
  <si>
    <t xml:space="preserve">RCP-26-0002</t>
  </si>
  <si>
    <t xml:space="preserve">RTGS</t>
  </si>
  <si>
    <t xml:space="preserve">UTR3124175006</t>
  </si>
  <si>
    <t xml:space="preserve">RCP-26-0003</t>
  </si>
  <si>
    <t xml:space="preserve">UTR1079250188</t>
  </si>
  <si>
    <t xml:space="preserve">RCP-26-0004</t>
  </si>
  <si>
    <t xml:space="preserve">Cheque</t>
  </si>
  <si>
    <t xml:space="preserve">CHQ640771</t>
  </si>
  <si>
    <t xml:space="preserve">RCP-26-0005</t>
  </si>
  <si>
    <t xml:space="preserve">UTR6847349047</t>
  </si>
  <si>
    <t xml:space="preserve">RCP-26-0006</t>
  </si>
  <si>
    <t xml:space="preserve">UTR6345698554</t>
  </si>
  <si>
    <t xml:space="preserve">RCP-26-0007</t>
  </si>
  <si>
    <t xml:space="preserve">UTR1015548088</t>
  </si>
  <si>
    <t xml:space="preserve">RCP-26-0008</t>
  </si>
  <si>
    <t xml:space="preserve">UTR2997834210</t>
  </si>
  <si>
    <t xml:space="preserve">RCP-26-0009</t>
  </si>
  <si>
    <t xml:space="preserve">UTR2899276652</t>
  </si>
  <si>
    <t xml:space="preserve">RCP-26-0010</t>
  </si>
  <si>
    <t xml:space="preserve">UTR1717359616</t>
  </si>
  <si>
    <t xml:space="preserve">RCP-26-0011</t>
  </si>
  <si>
    <t xml:space="preserve">CHQ520239</t>
  </si>
  <si>
    <t xml:space="preserve">RCP-26-0012</t>
  </si>
  <si>
    <t xml:space="preserve">CHQ439636</t>
  </si>
  <si>
    <t xml:space="preserve">RCP-26-0013</t>
  </si>
  <si>
    <t xml:space="preserve">UTR6626445643</t>
  </si>
  <si>
    <t xml:space="preserve">RCP-26-0014</t>
  </si>
  <si>
    <t xml:space="preserve">UTR0761784439</t>
  </si>
  <si>
    <t xml:space="preserve">RCP-26-0015</t>
  </si>
  <si>
    <t xml:space="preserve">CHQ779202</t>
  </si>
  <si>
    <t xml:space="preserve">RCP-26-0016</t>
  </si>
  <si>
    <t xml:space="preserve">UTR4179258705</t>
  </si>
  <si>
    <t xml:space="preserve">RCP-26-0017</t>
  </si>
  <si>
    <t xml:space="preserve">UTR2517826915</t>
  </si>
  <si>
    <t xml:space="preserve">RCP-26-0018</t>
  </si>
  <si>
    <t xml:space="preserve">UTR7636944783</t>
  </si>
  <si>
    <t xml:space="preserve">RCP-26-0019</t>
  </si>
  <si>
    <t xml:space="preserve">UTR4667306640</t>
  </si>
  <si>
    <t xml:space="preserve">RCP-26-0020</t>
  </si>
  <si>
    <t xml:space="preserve">UTR4522683864</t>
  </si>
  <si>
    <t xml:space="preserve">RCP-26-0021</t>
  </si>
  <si>
    <t xml:space="preserve">CHQ128261</t>
  </si>
  <si>
    <t xml:space="preserve">RCP-26-0022</t>
  </si>
  <si>
    <t xml:space="preserve">UTR2360160594</t>
  </si>
  <si>
    <t xml:space="preserve">RCP-26-0023</t>
  </si>
  <si>
    <t xml:space="preserve">UTR1348128021</t>
  </si>
  <si>
    <t xml:space="preserve">RCP-26-0024</t>
  </si>
  <si>
    <t xml:space="preserve">UTR9907232492</t>
  </si>
  <si>
    <t xml:space="preserve">RCP-26-0025</t>
  </si>
  <si>
    <t xml:space="preserve">UTR0855595827</t>
  </si>
  <si>
    <t xml:space="preserve">RCP-26-0026</t>
  </si>
  <si>
    <t xml:space="preserve">CHQ774625</t>
  </si>
  <si>
    <t xml:space="preserve">RCP-26-0027</t>
  </si>
  <si>
    <t xml:space="preserve">UTR7601849656</t>
  </si>
  <si>
    <t xml:space="preserve">RCP-26-0028</t>
  </si>
  <si>
    <t xml:space="preserve">CHQ949168</t>
  </si>
  <si>
    <t xml:space="preserve">RCP-26-0029</t>
  </si>
  <si>
    <t xml:space="preserve">UTR7629255032</t>
  </si>
  <si>
    <t xml:space="preserve">RCP-26-0030</t>
  </si>
  <si>
    <t xml:space="preserve">UTR0646321029</t>
  </si>
  <si>
    <t xml:space="preserve">RCP-26-0031</t>
  </si>
  <si>
    <t xml:space="preserve">UTR5749890099</t>
  </si>
  <si>
    <t xml:space="preserve">RCP-26-0032</t>
  </si>
  <si>
    <t xml:space="preserve">UTR1938276210</t>
  </si>
  <si>
    <t xml:space="preserve">RCP-26-0033</t>
  </si>
  <si>
    <t xml:space="preserve">UTR1831478931</t>
  </si>
  <si>
    <t xml:space="preserve">RCP-26-0034</t>
  </si>
  <si>
    <t xml:space="preserve">UTR0985234529</t>
  </si>
  <si>
    <t xml:space="preserve">RCP-26-0035</t>
  </si>
  <si>
    <t xml:space="preserve">UTR6868552736</t>
  </si>
  <si>
    <t xml:space="preserve">RCP-26-0036</t>
  </si>
  <si>
    <t xml:space="preserve">CHQ979354</t>
  </si>
  <si>
    <t xml:space="preserve">RCP-26-0037</t>
  </si>
  <si>
    <t xml:space="preserve">UTR0133710320</t>
  </si>
  <si>
    <t xml:space="preserve">RCP-26-0038</t>
  </si>
  <si>
    <t xml:space="preserve">CHQ458840</t>
  </si>
  <si>
    <t xml:space="preserve">RCP-26-0039</t>
  </si>
  <si>
    <t xml:space="preserve">CHQ299468</t>
  </si>
  <si>
    <t xml:space="preserve">RCP-26-0040</t>
  </si>
  <si>
    <t xml:space="preserve">UTR9945350200</t>
  </si>
  <si>
    <t xml:space="preserve">RCP-26-0041</t>
  </si>
  <si>
    <t xml:space="preserve">CHQ524970</t>
  </si>
  <si>
    <t xml:space="preserve">RCP-26-0042</t>
  </si>
  <si>
    <t xml:space="preserve">UTR5775089671</t>
  </si>
  <si>
    <t xml:space="preserve">RCP-26-0043</t>
  </si>
  <si>
    <t xml:space="preserve">CHQ294403</t>
  </si>
  <si>
    <t xml:space="preserve">RCP-26-0044</t>
  </si>
  <si>
    <t xml:space="preserve">CHQ134787</t>
  </si>
  <si>
    <t xml:space="preserve">RCP-26-0045</t>
  </si>
  <si>
    <t xml:space="preserve">UTR8247949141</t>
  </si>
  <si>
    <t xml:space="preserve">RCP-26-0046</t>
  </si>
  <si>
    <t xml:space="preserve">CHQ180615</t>
  </si>
  <si>
    <t xml:space="preserve">RCP-26-0047</t>
  </si>
  <si>
    <t xml:space="preserve">UTR1489461479</t>
  </si>
  <si>
    <t xml:space="preserve">RCP-26-0048</t>
  </si>
  <si>
    <t xml:space="preserve">UTR5185110284</t>
  </si>
  <si>
    <t xml:space="preserve">RCP-26-0049</t>
  </si>
  <si>
    <t xml:space="preserve">UTR0671884380</t>
  </si>
  <si>
    <t xml:space="preserve">RCP-26-0050</t>
  </si>
  <si>
    <t xml:space="preserve">UTR7948127912</t>
  </si>
  <si>
    <t xml:space="preserve">RCP-26-0051</t>
  </si>
  <si>
    <t xml:space="preserve">UTR9620900505</t>
  </si>
  <si>
    <t xml:space="preserve">RCP-26-0052</t>
  </si>
  <si>
    <t xml:space="preserve">CHQ766121</t>
  </si>
  <si>
    <t xml:space="preserve">RCP-26-0053</t>
  </si>
  <si>
    <t xml:space="preserve">UTR3090475286</t>
  </si>
  <si>
    <t xml:space="preserve">RCP-26-0054</t>
  </si>
  <si>
    <t xml:space="preserve">UTR0467867914</t>
  </si>
  <si>
    <t xml:space="preserve">RCP-26-0055</t>
  </si>
  <si>
    <t xml:space="preserve">UTR2112823625</t>
  </si>
  <si>
    <t xml:space="preserve">RCP-26-0056</t>
  </si>
  <si>
    <t xml:space="preserve">UTR5864043842</t>
  </si>
  <si>
    <t xml:space="preserve">RCP-26-0057</t>
  </si>
  <si>
    <t xml:space="preserve">CHQ945221</t>
  </si>
  <si>
    <t xml:space="preserve">RCP-26-0058</t>
  </si>
  <si>
    <t xml:space="preserve">UTR8965845707</t>
  </si>
  <si>
    <t xml:space="preserve">RCP-26-0059</t>
  </si>
  <si>
    <t xml:space="preserve">UTR8296225092</t>
  </si>
  <si>
    <t xml:space="preserve">RCP-26-0060</t>
  </si>
  <si>
    <t xml:space="preserve">UTR6909072389</t>
  </si>
  <si>
    <t xml:space="preserve">RCP-26-0061</t>
  </si>
  <si>
    <t xml:space="preserve">UTR9603793988</t>
  </si>
  <si>
    <t xml:space="preserve">RCP-26-0062</t>
  </si>
  <si>
    <t xml:space="preserve">UTR9370728622</t>
  </si>
  <si>
    <t xml:space="preserve">RCP-26-0063</t>
  </si>
  <si>
    <t xml:space="preserve">UTR0703555974</t>
  </si>
  <si>
    <t xml:space="preserve">RCP-26-0064</t>
  </si>
  <si>
    <t xml:space="preserve">UTR7842521265</t>
  </si>
  <si>
    <t xml:space="preserve">RCP-26-0065</t>
  </si>
  <si>
    <t xml:space="preserve">CHQ609554</t>
  </si>
  <si>
    <t xml:space="preserve">RCP-26-0066</t>
  </si>
  <si>
    <t xml:space="preserve">UTR1441721962</t>
  </si>
  <si>
    <t xml:space="preserve">RCP-26-0067</t>
  </si>
  <si>
    <t xml:space="preserve">UTR6856483393</t>
  </si>
  <si>
    <t xml:space="preserve">RCP-26-0068</t>
  </si>
  <si>
    <t xml:space="preserve">CHQ199547</t>
  </si>
  <si>
    <t xml:space="preserve">RCP-26-0069</t>
  </si>
  <si>
    <t xml:space="preserve">UTR9421229993</t>
  </si>
  <si>
    <t xml:space="preserve">RCP-26-0070</t>
  </si>
  <si>
    <t xml:space="preserve">CHQ707141</t>
  </si>
  <si>
    <t xml:space="preserve">RCP-26-0071</t>
  </si>
  <si>
    <t xml:space="preserve">CHQ911190</t>
  </si>
  <si>
    <t xml:space="preserve">RCP-26-0072</t>
  </si>
  <si>
    <t xml:space="preserve">CHQ771596</t>
  </si>
  <si>
    <t xml:space="preserve">RCP-26-0073</t>
  </si>
  <si>
    <t xml:space="preserve">CHQ357570</t>
  </si>
  <si>
    <t xml:space="preserve">RCP-26-0074</t>
  </si>
  <si>
    <t xml:space="preserve">UTR8556564638</t>
  </si>
  <si>
    <t xml:space="preserve">RCP-26-0075</t>
  </si>
  <si>
    <t xml:space="preserve">CHQ759698</t>
  </si>
  <si>
    <t xml:space="preserve">RCP-26-0076</t>
  </si>
  <si>
    <t xml:space="preserve">UTR3795327163</t>
  </si>
  <si>
    <t xml:space="preserve">RCP-26-0077</t>
  </si>
  <si>
    <t xml:space="preserve">CHQ847963</t>
  </si>
  <si>
    <t xml:space="preserve">RCP-26-0078</t>
  </si>
  <si>
    <t xml:space="preserve">CHQ841624</t>
  </si>
  <si>
    <t xml:space="preserve">RCP-26-0079</t>
  </si>
  <si>
    <t xml:space="preserve">UTR2822117196</t>
  </si>
  <si>
    <t xml:space="preserve">RCP-26-0080</t>
  </si>
  <si>
    <t xml:space="preserve">CHQ367324</t>
  </si>
  <si>
    <t xml:space="preserve">RCP-26-0081</t>
  </si>
  <si>
    <t xml:space="preserve">UTR1913988579</t>
  </si>
  <si>
    <t xml:space="preserve">RCP-26-0082</t>
  </si>
  <si>
    <t xml:space="preserve">UTR1933187376</t>
  </si>
  <si>
    <t xml:space="preserve">RCP-26-0083</t>
  </si>
  <si>
    <t xml:space="preserve">UTR7775331018</t>
  </si>
  <si>
    <t xml:space="preserve">RCP-26-0084</t>
  </si>
  <si>
    <t xml:space="preserve">UTR2097467288</t>
  </si>
  <si>
    <t xml:space="preserve">RCP-26-0085</t>
  </si>
  <si>
    <t xml:space="preserve">CHQ206894</t>
  </si>
  <si>
    <t xml:space="preserve">RCP-26-0086</t>
  </si>
  <si>
    <t xml:space="preserve">UTR2716429094</t>
  </si>
  <si>
    <t xml:space="preserve">RCP-26-0087</t>
  </si>
  <si>
    <t xml:space="preserve">CHQ196507</t>
  </si>
  <si>
    <t xml:space="preserve">RCP-26-0088</t>
  </si>
  <si>
    <t xml:space="preserve">CHQ290137</t>
  </si>
  <si>
    <t xml:space="preserve">RCP-26-0089</t>
  </si>
  <si>
    <t xml:space="preserve">UTR2852763244</t>
  </si>
  <si>
    <t xml:space="preserve">RCP-26-0090</t>
  </si>
  <si>
    <t xml:space="preserve">UTR6644470592</t>
  </si>
  <si>
    <t xml:space="preserve">RCP-26-0091</t>
  </si>
  <si>
    <t xml:space="preserve">UTR9274722922</t>
  </si>
  <si>
    <t xml:space="preserve">RCP-26-0092</t>
  </si>
  <si>
    <t xml:space="preserve">UTR5546400184</t>
  </si>
  <si>
    <t xml:space="preserve">RCP-26-0093</t>
  </si>
  <si>
    <t xml:space="preserve">UTR5222670775</t>
  </si>
  <si>
    <t xml:space="preserve">RCP-26-0094</t>
  </si>
  <si>
    <t xml:space="preserve">CHQ713678</t>
  </si>
  <si>
    <t xml:space="preserve">RCP-26-0095</t>
  </si>
  <si>
    <t xml:space="preserve">UTR0668195024</t>
  </si>
  <si>
    <t xml:space="preserve">RCP-26-0096</t>
  </si>
  <si>
    <t xml:space="preserve">UTR3768764298</t>
  </si>
  <si>
    <t xml:space="preserve">RCP-26-0097</t>
  </si>
  <si>
    <t xml:space="preserve">UTR4607317777</t>
  </si>
  <si>
    <t xml:space="preserve">RCP-26-0098</t>
  </si>
  <si>
    <t xml:space="preserve">UTR9780966710</t>
  </si>
  <si>
    <t xml:space="preserve">RCP-26-0099</t>
  </si>
  <si>
    <t xml:space="preserve">UTR5056243201</t>
  </si>
  <si>
    <t xml:space="preserve">RCP-26-0100</t>
  </si>
  <si>
    <t xml:space="preserve">UTR2331404684</t>
  </si>
  <si>
    <t xml:space="preserve">RCP-26-0101</t>
  </si>
  <si>
    <t xml:space="preserve">UTR0793145460</t>
  </si>
  <si>
    <t xml:space="preserve">RCP-26-0102</t>
  </si>
  <si>
    <t xml:space="preserve">UTR3621136970</t>
  </si>
  <si>
    <t xml:space="preserve">RCP-26-0103</t>
  </si>
  <si>
    <t xml:space="preserve">UTR5586026871</t>
  </si>
  <si>
    <t xml:space="preserve">RCP-26-0104</t>
  </si>
  <si>
    <t xml:space="preserve">CHQ593423</t>
  </si>
  <si>
    <t xml:space="preserve">RCP-26-0105</t>
  </si>
  <si>
    <t xml:space="preserve">CHQ575591</t>
  </si>
  <si>
    <t xml:space="preserve">RCP-26-0106</t>
  </si>
  <si>
    <t xml:space="preserve">UTR1205696852</t>
  </si>
  <si>
    <t xml:space="preserve">RCP-26-0107</t>
  </si>
  <si>
    <t xml:space="preserve">UTR9457439032</t>
  </si>
  <si>
    <t xml:space="preserve">RCP-26-0108</t>
  </si>
  <si>
    <t xml:space="preserve">UTR9788452675</t>
  </si>
  <si>
    <t xml:space="preserve">RCP-26-0109</t>
  </si>
  <si>
    <t xml:space="preserve">UTR9901049273</t>
  </si>
  <si>
    <t xml:space="preserve">RCP-26-0110</t>
  </si>
  <si>
    <t xml:space="preserve">UTR4289650105</t>
  </si>
  <si>
    <t xml:space="preserve">RCP-26-0111</t>
  </si>
  <si>
    <t xml:space="preserve">UTR1906131340</t>
  </si>
  <si>
    <t xml:space="preserve">RCP-26-0112</t>
  </si>
  <si>
    <t xml:space="preserve">CHQ634376</t>
  </si>
  <si>
    <t xml:space="preserve">RCP-26-0113</t>
  </si>
  <si>
    <t xml:space="preserve">UTR4521737507</t>
  </si>
  <si>
    <t xml:space="preserve">RCP-26-0114</t>
  </si>
  <si>
    <t xml:space="preserve">UTR1469566974</t>
  </si>
  <si>
    <t xml:space="preserve">RCP-26-0115</t>
  </si>
  <si>
    <t xml:space="preserve">UTR6123289926</t>
  </si>
  <si>
    <t xml:space="preserve">RCP-26-0116</t>
  </si>
  <si>
    <t xml:space="preserve">UTR8815653434</t>
  </si>
  <si>
    <t xml:space="preserve">RCP-26-0117</t>
  </si>
  <si>
    <t xml:space="preserve">UTR3920759358</t>
  </si>
  <si>
    <t xml:space="preserve">RCP-26-0118</t>
  </si>
  <si>
    <t xml:space="preserve">UTR5580258442</t>
  </si>
  <si>
    <t xml:space="preserve">RCP-26-0119</t>
  </si>
  <si>
    <t xml:space="preserve">UTR8383280385</t>
  </si>
  <si>
    <t xml:space="preserve">RCP-26-0120</t>
  </si>
  <si>
    <t xml:space="preserve">UTR9790940431</t>
  </si>
  <si>
    <t xml:space="preserve">RCP-26-0121</t>
  </si>
  <si>
    <t xml:space="preserve">UTR8472938833</t>
  </si>
  <si>
    <t xml:space="preserve">RCP-26-0122</t>
  </si>
  <si>
    <t xml:space="preserve">UTR6567792469</t>
  </si>
  <si>
    <t xml:space="preserve">RCP-26-0123</t>
  </si>
  <si>
    <t xml:space="preserve">UTR6456917551</t>
  </si>
  <si>
    <t xml:space="preserve">RCP-26-0124</t>
  </si>
  <si>
    <t xml:space="preserve">CHQ268128</t>
  </si>
  <si>
    <t xml:space="preserve">RCP-26-0125</t>
  </si>
  <si>
    <t xml:space="preserve">UTR1320278903</t>
  </si>
  <si>
    <t xml:space="preserve">RCP-26-0126</t>
  </si>
  <si>
    <t xml:space="preserve">UTR4012076566</t>
  </si>
  <si>
    <t xml:space="preserve">RCP-26-0127</t>
  </si>
  <si>
    <t xml:space="preserve">CHQ428361</t>
  </si>
  <si>
    <t xml:space="preserve">RCP-26-0128</t>
  </si>
  <si>
    <t xml:space="preserve">UTR9151258617</t>
  </si>
  <si>
    <t xml:space="preserve">RCP-26-0129</t>
  </si>
  <si>
    <t xml:space="preserve">CHQ642096</t>
  </si>
  <si>
    <t xml:space="preserve">RCP-26-0130</t>
  </si>
  <si>
    <t xml:space="preserve">CHQ484094</t>
  </si>
  <si>
    <t xml:space="preserve">RCP-26-0131</t>
  </si>
  <si>
    <t xml:space="preserve">UTR2734636842</t>
  </si>
  <si>
    <t xml:space="preserve">RCP-26-0132</t>
  </si>
  <si>
    <t xml:space="preserve">CHQ131613</t>
  </si>
  <si>
    <t xml:space="preserve">RCP-26-0133</t>
  </si>
  <si>
    <t xml:space="preserve">UTR6696282785</t>
  </si>
  <si>
    <t xml:space="preserve">RCP-26-0134</t>
  </si>
  <si>
    <t xml:space="preserve">UTR8039360154</t>
  </si>
  <si>
    <t xml:space="preserve">RCP-26-0135</t>
  </si>
  <si>
    <t xml:space="preserve">UTR8986126941</t>
  </si>
  <si>
    <t xml:space="preserve">RCP-26-0136</t>
  </si>
  <si>
    <t xml:space="preserve">CHQ430891</t>
  </si>
  <si>
    <t xml:space="preserve">RCP-26-0137</t>
  </si>
  <si>
    <t xml:space="preserve">UTR9446789781</t>
  </si>
  <si>
    <t xml:space="preserve">RCP-26-0138</t>
  </si>
  <si>
    <t xml:space="preserve">CHQ272431</t>
  </si>
  <si>
    <t xml:space="preserve">RCP-26-0139</t>
  </si>
  <si>
    <t xml:space="preserve">UTR8608369558</t>
  </si>
  <si>
    <t xml:space="preserve">RCP-26-0140</t>
  </si>
  <si>
    <t xml:space="preserve">UTR1344267575</t>
  </si>
  <si>
    <t xml:space="preserve">RCP-26-0141</t>
  </si>
  <si>
    <t xml:space="preserve">CHQ537691</t>
  </si>
  <si>
    <t xml:space="preserve">RCP-26-0142</t>
  </si>
  <si>
    <t xml:space="preserve">CHQ805332</t>
  </si>
  <si>
    <t xml:space="preserve">RCP-26-0143</t>
  </si>
  <si>
    <t xml:space="preserve">CHQ131775</t>
  </si>
  <si>
    <t xml:space="preserve">RCP-26-0144</t>
  </si>
  <si>
    <t xml:space="preserve">UTR1613370029</t>
  </si>
  <si>
    <t xml:space="preserve">RCP-26-0145</t>
  </si>
  <si>
    <t xml:space="preserve">UTR2504808490</t>
  </si>
  <si>
    <t xml:space="preserve">RCP-26-0146</t>
  </si>
  <si>
    <t xml:space="preserve">UTR0084381741</t>
  </si>
  <si>
    <t xml:space="preserve">RCP-26-0147</t>
  </si>
  <si>
    <t xml:space="preserve">CHQ411816</t>
  </si>
  <si>
    <t xml:space="preserve">RCP-26-0148</t>
  </si>
  <si>
    <t xml:space="preserve">CHQ361834</t>
  </si>
  <si>
    <t xml:space="preserve">RCP-26-0149</t>
  </si>
  <si>
    <t xml:space="preserve">CHQ416670</t>
  </si>
  <si>
    <t xml:space="preserve">RCP-26-0150</t>
  </si>
  <si>
    <t xml:space="preserve">UTR5966903908</t>
  </si>
  <si>
    <t xml:space="preserve">RCP-26-0151</t>
  </si>
  <si>
    <t xml:space="preserve">UTR2318759629</t>
  </si>
  <si>
    <t xml:space="preserve">RCP-26-0152</t>
  </si>
  <si>
    <t xml:space="preserve">UTR1512858630</t>
  </si>
  <si>
    <t xml:space="preserve">RCP-26-0153</t>
  </si>
  <si>
    <t xml:space="preserve">UTR2044714359</t>
  </si>
  <si>
    <t xml:space="preserve">RCP-26-0154</t>
  </si>
  <si>
    <t xml:space="preserve">CHQ796435</t>
  </si>
  <si>
    <t xml:space="preserve">RCP-26-0155</t>
  </si>
  <si>
    <t xml:space="preserve">UTR6786477477</t>
  </si>
  <si>
    <t xml:space="preserve">RCP-26-0156</t>
  </si>
  <si>
    <t xml:space="preserve">CHQ649086</t>
  </si>
  <si>
    <t xml:space="preserve">RCP-26-0157</t>
  </si>
  <si>
    <t xml:space="preserve">UTR9285608533</t>
  </si>
  <si>
    <t xml:space="preserve">RCP-26-0158</t>
  </si>
  <si>
    <t xml:space="preserve">UTR0668493924</t>
  </si>
  <si>
    <t xml:space="preserve">RCP-26-0159</t>
  </si>
  <si>
    <t xml:space="preserve">UTR1586015580</t>
  </si>
  <si>
    <t xml:space="preserve">RCP-26-0160</t>
  </si>
  <si>
    <t xml:space="preserve">UTR5213039121</t>
  </si>
  <si>
    <t xml:space="preserve">RCP-26-0161</t>
  </si>
  <si>
    <t xml:space="preserve">UTR3125104203</t>
  </si>
  <si>
    <t xml:space="preserve">RCP-26-0162</t>
  </si>
  <si>
    <t xml:space="preserve">UTR0688273974</t>
  </si>
  <si>
    <t xml:space="preserve">RCP-26-0163</t>
  </si>
  <si>
    <t xml:space="preserve">CHQ285385</t>
  </si>
  <si>
    <t xml:space="preserve">RCP-26-0164</t>
  </si>
  <si>
    <t xml:space="preserve">UTR5481577453</t>
  </si>
  <si>
    <t xml:space="preserve">RCP-26-0165</t>
  </si>
  <si>
    <t xml:space="preserve">UTR5950373168</t>
  </si>
  <si>
    <t xml:space="preserve">RCP-26-0166</t>
  </si>
  <si>
    <t xml:space="preserve">UTR5763199740</t>
  </si>
  <si>
    <t xml:space="preserve">RCP-26-0167</t>
  </si>
  <si>
    <t xml:space="preserve">UTR0326960726</t>
  </si>
  <si>
    <t xml:space="preserve">RCP-26-0168</t>
  </si>
  <si>
    <t xml:space="preserve">UTR5774500628</t>
  </si>
  <si>
    <t xml:space="preserve">RCP-26-0169</t>
  </si>
  <si>
    <t xml:space="preserve">UTR0148374756</t>
  </si>
  <si>
    <t xml:space="preserve">RCP-26-0170</t>
  </si>
  <si>
    <t xml:space="preserve">UTR1929481879</t>
  </si>
  <si>
    <t xml:space="preserve">RCP-26-0171</t>
  </si>
  <si>
    <t xml:space="preserve">UTR2361311493</t>
  </si>
  <si>
    <t xml:space="preserve">RCP-26-0172</t>
  </si>
  <si>
    <t xml:space="preserve">UTR1274446709</t>
  </si>
  <si>
    <t xml:space="preserve">RCP-26-0173</t>
  </si>
  <si>
    <t xml:space="preserve">UTR8467239963</t>
  </si>
  <si>
    <t xml:space="preserve">RCP-26-0174</t>
  </si>
  <si>
    <t xml:space="preserve">UTR8994454226</t>
  </si>
  <si>
    <t xml:space="preserve">RCP-26-0175</t>
  </si>
  <si>
    <t xml:space="preserve">UTR4458785927</t>
  </si>
  <si>
    <t xml:space="preserve">RCP-26-0176</t>
  </si>
  <si>
    <t xml:space="preserve">CHQ685950</t>
  </si>
  <si>
    <t xml:space="preserve">RCP-26-0177</t>
  </si>
  <si>
    <t xml:space="preserve">CHQ174760</t>
  </si>
  <si>
    <t xml:space="preserve">RCP-26-0178</t>
  </si>
  <si>
    <t xml:space="preserve">CHQ266836</t>
  </si>
  <si>
    <t xml:space="preserve">RCP-26-0179</t>
  </si>
  <si>
    <t xml:space="preserve">CHQ426373</t>
  </si>
  <si>
    <t xml:space="preserve">RCP-26-0180</t>
  </si>
  <si>
    <t xml:space="preserve">CHQ121530</t>
  </si>
  <si>
    <t xml:space="preserve">RCP-26-0181</t>
  </si>
  <si>
    <t xml:space="preserve">UTR9064895862</t>
  </si>
  <si>
    <t xml:space="preserve">RCP-26-0182</t>
  </si>
  <si>
    <t xml:space="preserve">CHQ771291</t>
  </si>
  <si>
    <t xml:space="preserve">RCP-26-0183</t>
  </si>
  <si>
    <t xml:space="preserve">UTR6113831179</t>
  </si>
  <si>
    <t xml:space="preserve">RCP-26-0184</t>
  </si>
  <si>
    <t xml:space="preserve">UTR8678461174</t>
  </si>
  <si>
    <t xml:space="preserve">RCP-26-0185</t>
  </si>
  <si>
    <t xml:space="preserve">UTR5481109052</t>
  </si>
  <si>
    <t xml:space="preserve">RCP-26-0186</t>
  </si>
  <si>
    <t xml:space="preserve">CHQ312884</t>
  </si>
  <si>
    <t xml:space="preserve">RCP-26-0187</t>
  </si>
  <si>
    <t xml:space="preserve">UTR5167229855</t>
  </si>
  <si>
    <t xml:space="preserve">RCP-26-0188</t>
  </si>
  <si>
    <t xml:space="preserve">CHQ870352</t>
  </si>
  <si>
    <t xml:space="preserve">RCP-26-0189</t>
  </si>
  <si>
    <t xml:space="preserve">UTR6320589087</t>
  </si>
  <si>
    <t xml:space="preserve">RCP-26-0190</t>
  </si>
  <si>
    <t xml:space="preserve">CHQ495370</t>
  </si>
  <si>
    <t xml:space="preserve">RCP-26-0191</t>
  </si>
  <si>
    <t xml:space="preserve">UTR0337410567</t>
  </si>
  <si>
    <t xml:space="preserve">RCP-26-0192</t>
  </si>
  <si>
    <t xml:space="preserve">UTR6835389396</t>
  </si>
  <si>
    <t xml:space="preserve">RCP-26-0193</t>
  </si>
  <si>
    <t xml:space="preserve">UTR4289082904</t>
  </si>
  <si>
    <t xml:space="preserve">RCP-26-0194</t>
  </si>
  <si>
    <t xml:space="preserve">CHQ248812</t>
  </si>
  <si>
    <t xml:space="preserve">RCP-26-0195</t>
  </si>
  <si>
    <t xml:space="preserve">UTR8339109977</t>
  </si>
  <si>
    <t xml:space="preserve">RCP-26-0196</t>
  </si>
  <si>
    <t xml:space="preserve">UTR9631513818</t>
  </si>
  <si>
    <t xml:space="preserve">RCP-26-0197</t>
  </si>
  <si>
    <t xml:space="preserve">CHQ513829</t>
  </si>
  <si>
    <t xml:space="preserve">RCP-26-0198</t>
  </si>
  <si>
    <t xml:space="preserve">UTR4994259895</t>
  </si>
  <si>
    <t xml:space="preserve">RCP-26-0199</t>
  </si>
  <si>
    <t xml:space="preserve">UTR0556684854</t>
  </si>
  <si>
    <t xml:space="preserve">RCP-26-0200</t>
  </si>
  <si>
    <t xml:space="preserve">CHQ992476</t>
  </si>
  <si>
    <t xml:space="preserve">RCP-26-0201</t>
  </si>
  <si>
    <t xml:space="preserve">UTR2623026995</t>
  </si>
  <si>
    <t xml:space="preserve">RCP-26-0202</t>
  </si>
  <si>
    <t xml:space="preserve">UTR0161701997</t>
  </si>
  <si>
    <t xml:space="preserve">RCP-26-0203</t>
  </si>
  <si>
    <t xml:space="preserve">CHQ790881</t>
  </si>
  <si>
    <t xml:space="preserve">RCP-26-0204</t>
  </si>
  <si>
    <t xml:space="preserve">UTR3937187132</t>
  </si>
  <si>
    <t xml:space="preserve">RCP-26-0205</t>
  </si>
  <si>
    <t xml:space="preserve">CHQ702065</t>
  </si>
  <si>
    <t xml:space="preserve">RCP-26-0206</t>
  </si>
  <si>
    <t xml:space="preserve">UTR1859195245</t>
  </si>
  <si>
    <t xml:space="preserve">RCP-26-0207</t>
  </si>
  <si>
    <t xml:space="preserve">UTR2491337935</t>
  </si>
  <si>
    <t xml:space="preserve">RCP-26-0208</t>
  </si>
  <si>
    <t xml:space="preserve">UTR5634593173</t>
  </si>
  <si>
    <t xml:space="preserve">RCP-26-0209</t>
  </si>
  <si>
    <t xml:space="preserve">UTR3731027962</t>
  </si>
  <si>
    <t xml:space="preserve">RCP-26-0210</t>
  </si>
  <si>
    <t xml:space="preserve">UTR6884553626</t>
  </si>
  <si>
    <t xml:space="preserve">RCP-26-0211</t>
  </si>
  <si>
    <t xml:space="preserve">UTR2053685139</t>
  </si>
  <si>
    <t xml:space="preserve">RCP-26-0212</t>
  </si>
  <si>
    <t xml:space="preserve">UTR0414524800</t>
  </si>
  <si>
    <t xml:space="preserve">RCP-26-0213</t>
  </si>
  <si>
    <t xml:space="preserve">UTR1380414685</t>
  </si>
  <si>
    <t xml:space="preserve">RCP-26-0214</t>
  </si>
  <si>
    <t xml:space="preserve">UTR5318581881</t>
  </si>
  <si>
    <t xml:space="preserve">RCP-26-0215</t>
  </si>
  <si>
    <t xml:space="preserve">UTR3640277339</t>
  </si>
  <si>
    <t xml:space="preserve">RCP-26-0216</t>
  </si>
  <si>
    <t xml:space="preserve">CHQ910549</t>
  </si>
  <si>
    <t xml:space="preserve">RCP-26-0217</t>
  </si>
  <si>
    <t xml:space="preserve">CHQ718026</t>
  </si>
  <si>
    <t xml:space="preserve">RCP-26-0218</t>
  </si>
  <si>
    <t xml:space="preserve">CHQ948354</t>
  </si>
  <si>
    <t xml:space="preserve">RCP-26-0219</t>
  </si>
  <si>
    <t xml:space="preserve">CHQ957465</t>
  </si>
  <si>
    <t xml:space="preserve">RCP-26-0220</t>
  </si>
  <si>
    <t xml:space="preserve">UTR6094645219</t>
  </si>
  <si>
    <t xml:space="preserve">RCP-26-0221</t>
  </si>
  <si>
    <t xml:space="preserve">CHQ240599</t>
  </si>
  <si>
    <t xml:space="preserve">RCP-26-0222</t>
  </si>
  <si>
    <t xml:space="preserve">CHQ141067</t>
  </si>
  <si>
    <t xml:space="preserve">RCP-26-0223</t>
  </si>
  <si>
    <t xml:space="preserve">UTR3983892168</t>
  </si>
  <si>
    <t xml:space="preserve">RCP-26-0224</t>
  </si>
  <si>
    <t xml:space="preserve">UTR3738157247</t>
  </si>
  <si>
    <t xml:space="preserve">RCP-26-0225</t>
  </si>
  <si>
    <t xml:space="preserve">UTR1279290764</t>
  </si>
  <si>
    <t xml:space="preserve">RCP-26-0226</t>
  </si>
  <si>
    <t xml:space="preserve">UTR6570227462</t>
  </si>
  <si>
    <t xml:space="preserve">RCP-26-0227</t>
  </si>
  <si>
    <t xml:space="preserve">UTR0821450151</t>
  </si>
  <si>
    <t xml:space="preserve">RCP-26-0228</t>
  </si>
  <si>
    <t xml:space="preserve">UTR1664825783</t>
  </si>
  <si>
    <t xml:space="preserve">RCP-26-0229</t>
  </si>
  <si>
    <t xml:space="preserve">UTR0965269673</t>
  </si>
  <si>
    <t xml:space="preserve">RCP-26-0230</t>
  </si>
  <si>
    <t xml:space="preserve">UTR7630067216</t>
  </si>
  <si>
    <t xml:space="preserve">RCP-26-0231</t>
  </si>
  <si>
    <t xml:space="preserve">UTR6700621011</t>
  </si>
  <si>
    <t xml:space="preserve">RCP-26-0232</t>
  </si>
  <si>
    <t xml:space="preserve">UTR1708520046</t>
  </si>
  <si>
    <t xml:space="preserve">RCP-26-0233</t>
  </si>
  <si>
    <t xml:space="preserve">UTR7408639850</t>
  </si>
  <si>
    <t xml:space="preserve">RCP-26-0234</t>
  </si>
  <si>
    <t xml:space="preserve">CHQ726286</t>
  </si>
  <si>
    <t xml:space="preserve">Cash book (bank account)</t>
  </si>
  <si>
    <t xml:space="preserve">The company's own record of bank receipts and payments. Each entry is matched to the bank statement on its reference.</t>
  </si>
  <si>
    <t xml:space="preserve">Voucher no.</t>
  </si>
  <si>
    <t xml:space="preserve">Particulars</t>
  </si>
  <si>
    <t xml:space="preserve">Type</t>
  </si>
  <si>
    <t xml:space="preserve">Net (₹)</t>
  </si>
  <si>
    <t xml:space="preserve">Reference</t>
  </si>
  <si>
    <t xml:space="preserve">Per bank (₹)</t>
  </si>
  <si>
    <t xml:space="preserve">Bank less books (₹)</t>
  </si>
  <si>
    <t xml:space="preserve">Status</t>
  </si>
  <si>
    <t xml:space="preserve">PV-26-0001</t>
  </si>
  <si>
    <t xml:space="preserve">Salary and wages - Mar</t>
  </si>
  <si>
    <t xml:space="preserve">Payment</t>
  </si>
  <si>
    <t xml:space="preserve">UTR4286505316</t>
  </si>
  <si>
    <t xml:space="preserve">PV-26-0002</t>
  </si>
  <si>
    <t xml:space="preserve">Payment to Flexi Packaging</t>
  </si>
  <si>
    <t xml:space="preserve">UTR4620991833</t>
  </si>
  <si>
    <t xml:space="preserve">PV-26-0003</t>
  </si>
  <si>
    <t xml:space="preserve">Office and godown rent</t>
  </si>
  <si>
    <t xml:space="preserve">UTR4014921623</t>
  </si>
  <si>
    <t xml:space="preserve">Receipt from Krishna Distributors, Hyderabad against INV/26-27/0010</t>
  </si>
  <si>
    <t xml:space="preserve">Receipt</t>
  </si>
  <si>
    <t xml:space="preserve">Receipt from Hooghly Foods, Kolkata against INV/26-27/0004</t>
  </si>
  <si>
    <t xml:space="preserve">PV-26-0004</t>
  </si>
  <si>
    <t xml:space="preserve">Payment to Rapid Roadways</t>
  </si>
  <si>
    <t xml:space="preserve">CHQ826512</t>
  </si>
  <si>
    <t xml:space="preserve">PV-26-0005</t>
  </si>
  <si>
    <t xml:space="preserve">Payment to principal - stock purchase</t>
  </si>
  <si>
    <t xml:space="preserve">UTR5815071420</t>
  </si>
  <si>
    <t xml:space="preserve">Receipt from Hooghly Foods, Kolkata against INV/26-27/0008</t>
  </si>
  <si>
    <t xml:space="preserve">Receipt from Konkan Distributors, Mumbai against INV/26-27/0009</t>
  </si>
  <si>
    <t xml:space="preserve">Receipt from Hooghly Foods, Kolkata against INV/26-27/0003</t>
  </si>
  <si>
    <t xml:space="preserve">Receipt from Brahmaputra Traders, Guwahati against INV/26-27/0016</t>
  </si>
  <si>
    <t xml:space="preserve">Receipt from Hooghly Foods, Kolkata against INV/26-27/0012</t>
  </si>
  <si>
    <t xml:space="preserve">Receipt from Brahmaputra Traders, Guwahati against INV/26-27/0013</t>
  </si>
  <si>
    <t xml:space="preserve">Receipt from Doon Distributors, Dehradun against INV/26-27/0017</t>
  </si>
  <si>
    <t xml:space="preserve">PV-26-0006</t>
  </si>
  <si>
    <t xml:space="preserve">Payment to City Couriers</t>
  </si>
  <si>
    <t xml:space="preserve">CHQ686838</t>
  </si>
  <si>
    <t xml:space="preserve">Receipt from Hooghly Foods, Kolkata against INV/26-27/0001</t>
  </si>
  <si>
    <t xml:space="preserve">Receipt from Krishna Distributors, Hyderabad against INV/26-27/0014</t>
  </si>
  <si>
    <t xml:space="preserve">Receipt from Coromandel Traders, Chennai against INV/26-27/0007</t>
  </si>
  <si>
    <t xml:space="preserve">Receipt from Satluj Foods, Ludhiana against INV/26-27/0011</t>
  </si>
  <si>
    <t xml:space="preserve">PV-26-0007</t>
  </si>
  <si>
    <t xml:space="preserve">GST payment</t>
  </si>
  <si>
    <t xml:space="preserve">UTR0996350507</t>
  </si>
  <si>
    <t xml:space="preserve">Receipt from Coromandel Traders, Chennai against INV/26-27/0005</t>
  </si>
  <si>
    <t xml:space="preserve">PV-26-0008</t>
  </si>
  <si>
    <t xml:space="preserve">Payment to Pack-Rite Industries</t>
  </si>
  <si>
    <t xml:space="preserve">CHQ220115</t>
  </si>
  <si>
    <t xml:space="preserve">PV-26-0009</t>
  </si>
  <si>
    <t xml:space="preserve">Payment to Brandwave Media</t>
  </si>
  <si>
    <t xml:space="preserve">UTR3492945911</t>
  </si>
  <si>
    <t xml:space="preserve">Receipt from Satluj Foods, Ludhiana against INV/26-27/0026</t>
  </si>
  <si>
    <t xml:space="preserve">Receipt from Satluj Foods, Ludhiana against INV/26-27/0022</t>
  </si>
  <si>
    <t xml:space="preserve">PV-26-0010</t>
  </si>
  <si>
    <t xml:space="preserve">UTR9422303073</t>
  </si>
  <si>
    <t xml:space="preserve">Receipt from Satluj Foods, Ludhiana against INV/26-27/0019</t>
  </si>
  <si>
    <t xml:space="preserve">PV-26-0011</t>
  </si>
  <si>
    <t xml:space="preserve">UTR9739760947</t>
  </si>
  <si>
    <t xml:space="preserve">Receipt from Satluj Foods, Ludhiana against INV/26-27/0028</t>
  </si>
  <si>
    <t xml:space="preserve">Receipt from Satluj Foods, Ludhiana against INV/26-27/0030</t>
  </si>
  <si>
    <t xml:space="preserve">Receipt from Brahmaputra Traders, Guwahati against INV/26-27/0031</t>
  </si>
  <si>
    <t xml:space="preserve">PV-26-0012</t>
  </si>
  <si>
    <t xml:space="preserve">Payment to Shree Warehousing</t>
  </si>
  <si>
    <t xml:space="preserve">UTR3263649654</t>
  </si>
  <si>
    <t xml:space="preserve">Receipt from Brahmaputra Traders, Guwahati against INV/26-27/0024</t>
  </si>
  <si>
    <t xml:space="preserve">Receipt from Satluj Foods, Ludhiana against INV/26-27/0035</t>
  </si>
  <si>
    <t xml:space="preserve">Receipt from Hooghly Foods, Kolkata against INV/26-27/0037</t>
  </si>
  <si>
    <t xml:space="preserve">PV-26-0013</t>
  </si>
  <si>
    <t xml:space="preserve">UTR9245929358</t>
  </si>
  <si>
    <t xml:space="preserve">PV-26-0014</t>
  </si>
  <si>
    <t xml:space="preserve">Bank charges - Apr</t>
  </si>
  <si>
    <t xml:space="preserve">BNKCHG2604</t>
  </si>
  <si>
    <t xml:space="preserve">Receipt from Narmada Foods, Surat against INV/26-27/0039</t>
  </si>
  <si>
    <t xml:space="preserve">PV-26-0015</t>
  </si>
  <si>
    <t xml:space="preserve">Salary and wages - Apr</t>
  </si>
  <si>
    <t xml:space="preserve">UTR7630372492</t>
  </si>
  <si>
    <t xml:space="preserve">Receipt from Narmada Foods, Surat against INV/26-27/0038</t>
  </si>
  <si>
    <t xml:space="preserve">Receipt from Cauvery Foods, Bengaluru against INV/26-27/0043</t>
  </si>
  <si>
    <t xml:space="preserve">Receipt from Brahmaputra Traders, Guwahati against INV/26-27/0033</t>
  </si>
  <si>
    <t xml:space="preserve">Receipt from Magadh Agencies, Patna against INV/26-27/0015</t>
  </si>
  <si>
    <t xml:space="preserve">Receipt from Brahmaputra Traders, Guwahati against INV/26-27/0023</t>
  </si>
  <si>
    <t xml:space="preserve">PV-26-0016</t>
  </si>
  <si>
    <t xml:space="preserve">UTR9477930707</t>
  </si>
  <si>
    <t xml:space="preserve">Receipt from Narmada Foods, Surat against INV/26-27/0045</t>
  </si>
  <si>
    <t xml:space="preserve">PV-26-0017</t>
  </si>
  <si>
    <t xml:space="preserve">CHQ488055</t>
  </si>
  <si>
    <t xml:space="preserve">PV-26-0018</t>
  </si>
  <si>
    <t xml:space="preserve">UTR5601406435</t>
  </si>
  <si>
    <t xml:space="preserve">Receipt from Doon Distributors, Dehradun against INV/26-27/0034</t>
  </si>
  <si>
    <t xml:space="preserve">Receipt from Cauvery Foods, Bengaluru against INV/26-27/0046</t>
  </si>
  <si>
    <t xml:space="preserve">Receipt from Hooghly Foods, Kolkata against INV/26-27/0040</t>
  </si>
  <si>
    <t xml:space="preserve">PV-26-0019</t>
  </si>
  <si>
    <t xml:space="preserve">CHQ633007</t>
  </si>
  <si>
    <t xml:space="preserve">Receipt from Magadh Agencies, Patna against INV/26-27/0002</t>
  </si>
  <si>
    <t xml:space="preserve">PV-26-0020</t>
  </si>
  <si>
    <t xml:space="preserve">UTR9710222160</t>
  </si>
  <si>
    <t xml:space="preserve">Receipt from Brahmaputra Traders, Guwahati against INV/26-27/0036</t>
  </si>
  <si>
    <t xml:space="preserve">Receipt from Coromandel Traders, Chennai against INV/26-27/0041</t>
  </si>
  <si>
    <t xml:space="preserve">Receipt from Yamuna Traders, Delhi against INV/26-27/0042</t>
  </si>
  <si>
    <t xml:space="preserve">Receipt from Cauvery Foods, Bengaluru against INV/26-27/0057</t>
  </si>
  <si>
    <t xml:space="preserve">Receipt from Yamuna Traders, Delhi against INV/26-27/0056</t>
  </si>
  <si>
    <t xml:space="preserve">Receipt from Krishna Distributors, Hyderabad against INV/26-27/0053</t>
  </si>
  <si>
    <t xml:space="preserve">PV-26-0021</t>
  </si>
  <si>
    <t xml:space="preserve">UTR3386129493</t>
  </si>
  <si>
    <t xml:space="preserve">Receipt from Periyar Agencies, Kochi against INV/26-27/0021</t>
  </si>
  <si>
    <t xml:space="preserve">Receipt from Konkan Distributors, Mumbai against INV/26-27/0054</t>
  </si>
  <si>
    <t xml:space="preserve">Receipt from Brahmaputra Traders, Guwahati against INV/26-27/0055</t>
  </si>
  <si>
    <t xml:space="preserve">Receipt from Cauvery Foods, Bengaluru against INV/26-27/0069</t>
  </si>
  <si>
    <t xml:space="preserve">Receipt from Periyar Agencies, Kochi against INV/26-27/0020</t>
  </si>
  <si>
    <t xml:space="preserve">Receipt from Satluj Foods, Ludhiana against INV/26-27/0061</t>
  </si>
  <si>
    <t xml:space="preserve">PV-26-0022</t>
  </si>
  <si>
    <t xml:space="preserve">UTR9884782414</t>
  </si>
  <si>
    <t xml:space="preserve">Receipt from Periyar Agencies, Kochi against INV/26-27/0025</t>
  </si>
  <si>
    <t xml:space="preserve">Receipt from Cauvery Foods, Bengaluru against INV/26-27/0050</t>
  </si>
  <si>
    <t xml:space="preserve">Receipt from Coromandel Traders, Chennai against INV/26-27/0058</t>
  </si>
  <si>
    <t xml:space="preserve">PV-26-0023</t>
  </si>
  <si>
    <t xml:space="preserve">Payment to Trans India Carriers</t>
  </si>
  <si>
    <t xml:space="preserve">UTR9344808519</t>
  </si>
  <si>
    <t xml:space="preserve">Receipt from Satluj Foods, Ludhiana against INV/26-27/0059</t>
  </si>
  <si>
    <t xml:space="preserve">Receipt from Doon Distributors, Dehradun against INV/26-27/0062</t>
  </si>
  <si>
    <t xml:space="preserve">Receipt from Coromandel Traders, Chennai against INV/26-27/0071</t>
  </si>
  <si>
    <t xml:space="preserve">Receipt from Cauvery Foods, Bengaluru against INV/26-27/0060</t>
  </si>
  <si>
    <t xml:space="preserve">PV-26-0024</t>
  </si>
  <si>
    <t xml:space="preserve">Payment to Mehta and Associates</t>
  </si>
  <si>
    <t xml:space="preserve">CHQ634977</t>
  </si>
  <si>
    <t xml:space="preserve">Receipt from Magadh Agencies, Patna against INV/26-27/0032</t>
  </si>
  <si>
    <t xml:space="preserve">Receipt from Konkan Distributors, Mumbai against INV/26-27/0066</t>
  </si>
  <si>
    <t xml:space="preserve">Receipt from Krishna Distributors, Hyderabad against INV/26-27/0065</t>
  </si>
  <si>
    <t xml:space="preserve">PV-26-0025</t>
  </si>
  <si>
    <t xml:space="preserve">Bank charges - May</t>
  </si>
  <si>
    <t xml:space="preserve">BNKCHG2605</t>
  </si>
  <si>
    <t xml:space="preserve">PV-26-0026</t>
  </si>
  <si>
    <t xml:space="preserve">Salary and wages - May</t>
  </si>
  <si>
    <t xml:space="preserve">UTR3704481142</t>
  </si>
  <si>
    <t xml:space="preserve">Receipt from Periyar Agencies, Kochi against INV/26-27/0027</t>
  </si>
  <si>
    <t xml:space="preserve">Receipt from Konkan Distributors, Mumbai against INV/26-27/0063</t>
  </si>
  <si>
    <t xml:space="preserve">Receipt from Doon Distributors, Dehradun against INV/26-27/0064</t>
  </si>
  <si>
    <t xml:space="preserve">Receipt from Doon Distributors, Dehradun against INV/26-27/0073</t>
  </si>
  <si>
    <t xml:space="preserve">Receipt from Magadh Agencies, Patna against INV/26-27/0047</t>
  </si>
  <si>
    <t xml:space="preserve">Receipt from Brahmaputra Traders, Guwahati against INV/26-27/0068</t>
  </si>
  <si>
    <t xml:space="preserve">Receipt from Narmada Foods, Surat against INV/26-27/0081</t>
  </si>
  <si>
    <t xml:space="preserve">Receipt from Awadh Agencies, Lucknow against INV/26-27/0006</t>
  </si>
  <si>
    <t xml:space="preserve">Receipt from Hooghly Foods, Kolkata against INV/26-27/0074</t>
  </si>
  <si>
    <t xml:space="preserve">Receipt from Satluj Foods, Ludhiana against INV/26-27/0075</t>
  </si>
  <si>
    <t xml:space="preserve">PV-26-0027</t>
  </si>
  <si>
    <t xml:space="preserve">UTR0873746385</t>
  </si>
  <si>
    <t xml:space="preserve">Receipt from Narmada Foods, Surat against INV/26-27/0067</t>
  </si>
  <si>
    <t xml:space="preserve">Receipt from Satluj Foods, Ludhiana against INV/26-27/0085</t>
  </si>
  <si>
    <t xml:space="preserve">PV-26-0028</t>
  </si>
  <si>
    <t xml:space="preserve">UTR2793454626</t>
  </si>
  <si>
    <t xml:space="preserve">Receipt from Yamuna Traders, Delhi against INV/26-27/0090</t>
  </si>
  <si>
    <t xml:space="preserve">Receipt from Coromandel Traders, Chennai against INV/26-27/0076</t>
  </si>
  <si>
    <t xml:space="preserve">Receipt from Satluj Foods, Ludhiana against INV/26-27/0082</t>
  </si>
  <si>
    <t xml:space="preserve">Receipt from Brahmaputra Traders, Guwahati against INV/26-27/0089</t>
  </si>
  <si>
    <t xml:space="preserve">Receipt from Krishna Distributors, Hyderabad against INV/26-27/0079</t>
  </si>
  <si>
    <t xml:space="preserve">Receipt from Krishna Distributors, Hyderabad against INV/26-27/0080</t>
  </si>
  <si>
    <t xml:space="preserve">Receipt from Satluj Foods, Ludhiana against INV/26-27/0099</t>
  </si>
  <si>
    <t xml:space="preserve">Receipt from Brahmaputra Traders, Guwahati against INV/26-27/0077</t>
  </si>
  <si>
    <t xml:space="preserve">Receipt from Krishna Distributors, Hyderabad against INV/26-27/0088</t>
  </si>
  <si>
    <t xml:space="preserve">Receipt from Coromandel Traders, Chennai against INV/26-27/0087</t>
  </si>
  <si>
    <t xml:space="preserve">PV-26-0029</t>
  </si>
  <si>
    <t xml:space="preserve">CHQ276600</t>
  </si>
  <si>
    <t xml:space="preserve">Receipt from Coromandel Traders, Chennai against INV/26-27/0083</t>
  </si>
  <si>
    <t xml:space="preserve">PV-26-0030</t>
  </si>
  <si>
    <t xml:space="preserve">CHQ241318</t>
  </si>
  <si>
    <t xml:space="preserve">Receipt from Periyar Agencies, Kochi against INV/26-27/0051</t>
  </si>
  <si>
    <t xml:space="preserve">PV-26-0031</t>
  </si>
  <si>
    <t xml:space="preserve">UTR7073582197</t>
  </si>
  <si>
    <t xml:space="preserve">Receipt from Periyar Agencies, Kochi against INV/26-27/0048</t>
  </si>
  <si>
    <t xml:space="preserve">Receipt from Brahmaputra Traders, Guwahati against INV/26-27/0100</t>
  </si>
  <si>
    <t xml:space="preserve">Receipt from Konkan Distributors, Mumbai against INV/26-27/0102</t>
  </si>
  <si>
    <t xml:space="preserve">Receipt from Periyar Agencies, Kochi against INV/26-27/0049</t>
  </si>
  <si>
    <t xml:space="preserve">Receipt from Narmada Foods, Surat against INV/26-27/0093</t>
  </si>
  <si>
    <t xml:space="preserve">Receipt from Hooghly Foods, Kolkata against INV/26-27/0097</t>
  </si>
  <si>
    <t xml:space="preserve">Receipt from Satluj Foods, Ludhiana against INV/26-27/0101</t>
  </si>
  <si>
    <t xml:space="preserve">Receipt from Yamuna Traders, Delhi against INV/26-27/0103</t>
  </si>
  <si>
    <t xml:space="preserve">PV-26-0032</t>
  </si>
  <si>
    <t xml:space="preserve">UTR4220701960</t>
  </si>
  <si>
    <t xml:space="preserve">Receipt from Marwar Agencies, Jaipur against INV/26-27/0070</t>
  </si>
  <si>
    <t xml:space="preserve">Receipt from Satluj Foods, Ludhiana against INV/26-27/0094</t>
  </si>
  <si>
    <t xml:space="preserve">Receipt from Brahmaputra Traders, Guwahati against INV/26-27/0105</t>
  </si>
  <si>
    <t xml:space="preserve">PV-26-0033</t>
  </si>
  <si>
    <t xml:space="preserve">UTR3493859383</t>
  </si>
  <si>
    <t xml:space="preserve">Receipt from Marwar Agencies, Jaipur against INV/26-27/0084</t>
  </si>
  <si>
    <t xml:space="preserve">Receipt from Doon Distributors, Dehradun against INV/26-27/0091</t>
  </si>
  <si>
    <t xml:space="preserve">Receipt from Brahmaputra Traders, Guwahati against INV/26-27/0111</t>
  </si>
  <si>
    <t xml:space="preserve">Receipt from Cauvery Foods, Bengaluru against INV/26-27/0114</t>
  </si>
  <si>
    <t xml:space="preserve">Receipt from Satluj Foods, Ludhiana against INV/26-27/0098</t>
  </si>
  <si>
    <t xml:space="preserve">JV-26-0138</t>
  </si>
  <si>
    <t xml:space="preserve">Interest credited - Q1</t>
  </si>
  <si>
    <t xml:space="preserve">BNKINT2606</t>
  </si>
  <si>
    <t xml:space="preserve">PV-26-0034</t>
  </si>
  <si>
    <t xml:space="preserve">UTR0349781567</t>
  </si>
  <si>
    <t xml:space="preserve">PV-26-0035</t>
  </si>
  <si>
    <t xml:space="preserve">Bank charges - Jun</t>
  </si>
  <si>
    <t xml:space="preserve">BNKCHG2606</t>
  </si>
  <si>
    <t xml:space="preserve">Receipt from Konkan Distributors, Mumbai against INV/26-27/0106</t>
  </si>
  <si>
    <t xml:space="preserve">PV-26-0036</t>
  </si>
  <si>
    <t xml:space="preserve">Salary and wages - Jun</t>
  </si>
  <si>
    <t xml:space="preserve">UTR5179276577</t>
  </si>
  <si>
    <t xml:space="preserve">Receipt from Cauvery Foods, Bengaluru against INV/26-27/0107</t>
  </si>
  <si>
    <t xml:space="preserve">PV-26-0037</t>
  </si>
  <si>
    <t xml:space="preserve">UTR1553223477</t>
  </si>
  <si>
    <t xml:space="preserve">Receipt from Doon Distributors, Dehradun against INV/26-27/0109</t>
  </si>
  <si>
    <t xml:space="preserve">Receipt from Krishna Distributors, Hyderabad against INV/26-27/0119</t>
  </si>
  <si>
    <t xml:space="preserve">Receipt from Konkan Distributors, Mumbai against INV/26-27/0112</t>
  </si>
  <si>
    <t xml:space="preserve">PV-26-0038</t>
  </si>
  <si>
    <t xml:space="preserve">UTR4893030675</t>
  </si>
  <si>
    <t xml:space="preserve">Receipt from Awadh Agencies, Lucknow against INV/26-27/0044</t>
  </si>
  <si>
    <t xml:space="preserve">Receipt from Yamuna Traders, Delhi against INV/26-27/0121</t>
  </si>
  <si>
    <t xml:space="preserve">Receipt from Magadh Agencies, Patna against INV/26-27/0086</t>
  </si>
  <si>
    <t xml:space="preserve">Receipt from Brahmaputra Traders, Guwahati against INV/26-27/0110</t>
  </si>
  <si>
    <t xml:space="preserve">Receipt from Doon Distributors, Dehradun against INV/26-27/0116</t>
  </si>
  <si>
    <t xml:space="preserve">Receipt from Periyar Agencies, Kochi against INV/26-27/0072</t>
  </si>
  <si>
    <t xml:space="preserve">Receipt from Konkan Distributors, Mumbai against INV/26-27/0127</t>
  </si>
  <si>
    <t xml:space="preserve">Receipt from Yamuna Traders, Delhi against INV/26-27/0137</t>
  </si>
  <si>
    <t xml:space="preserve">Receipt from Narmada Foods, Surat against INV/26-27/0131</t>
  </si>
  <si>
    <t xml:space="preserve">Receipt from Hooghly Foods, Kolkata against INV/26-27/0134</t>
  </si>
  <si>
    <t xml:space="preserve">Receipt from Coromandel Traders, Chennai against INV/26-27/0120</t>
  </si>
  <si>
    <t xml:space="preserve">Receipt from Satluj Foods, Ludhiana against INV/26-27/0118</t>
  </si>
  <si>
    <t xml:space="preserve">Receipt from Yamuna Traders, Delhi against INV/26-27/0123</t>
  </si>
  <si>
    <t xml:space="preserve">Receipt from Periyar Agencies, Kochi against INV/26-27/0078</t>
  </si>
  <si>
    <t xml:space="preserve">Receipt from Yamuna Traders, Delhi against INV/26-27/0126</t>
  </si>
  <si>
    <t xml:space="preserve">Receipt from Satluj Foods, Ludhiana against INV/26-27/0129</t>
  </si>
  <si>
    <t xml:space="preserve">PV-26-0039</t>
  </si>
  <si>
    <t xml:space="preserve">UTR9851382919</t>
  </si>
  <si>
    <t xml:space="preserve">Receipt from Doon Distributors, Dehradun against INV/26-27/0125</t>
  </si>
  <si>
    <t xml:space="preserve">Receipt from Hooghly Foods, Kolkata against INV/26-27/0133</t>
  </si>
  <si>
    <t xml:space="preserve">Receipt from Krishna Distributors, Hyderabad against INV/26-27/0139</t>
  </si>
  <si>
    <t xml:space="preserve">Receipt from Yamuna Traders, Delhi against INV/26-27/0145</t>
  </si>
  <si>
    <t xml:space="preserve">Receipt from Coromandel Traders, Chennai against INV/26-27/0124</t>
  </si>
  <si>
    <t xml:space="preserve">Receipt from Konkan Distributors, Mumbai against INV/26-27/0140</t>
  </si>
  <si>
    <t xml:space="preserve">Receipt from Yamuna Traders, Delhi against INV/26-27/0130</t>
  </si>
  <si>
    <t xml:space="preserve">Receipt from Satluj Foods, Ludhiana against INV/26-27/0136</t>
  </si>
  <si>
    <t xml:space="preserve">PV-26-0040</t>
  </si>
  <si>
    <t xml:space="preserve">UTR3947522202</t>
  </si>
  <si>
    <t xml:space="preserve">Receipt from Marwar Agencies, Jaipur against INV/26-27/0117</t>
  </si>
  <si>
    <t xml:space="preserve">Receipt from Narmada Foods, Surat against INV/26-27/0142</t>
  </si>
  <si>
    <t xml:space="preserve">PV-26-0041</t>
  </si>
  <si>
    <t xml:space="preserve">Payment to Precision Engineering Works</t>
  </si>
  <si>
    <t xml:space="preserve">UTR5462520569</t>
  </si>
  <si>
    <t xml:space="preserve">Receipt from Marwar Agencies, Jaipur against INV/26-27/0108</t>
  </si>
  <si>
    <t xml:space="preserve">Receipt from Magadh Agencies, Patna against INV/26-27/0113</t>
  </si>
  <si>
    <t xml:space="preserve">Receipt from Brahmaputra Traders, Guwahati against INV/26-27/0135</t>
  </si>
  <si>
    <t xml:space="preserve">Receipt from Hooghly Foods, Kolkata against INV/26-27/0143</t>
  </si>
  <si>
    <t xml:space="preserve">Receipt from Krishna Distributors, Hyderabad against INV/26-27/0155</t>
  </si>
  <si>
    <t xml:space="preserve">PV-26-0042</t>
  </si>
  <si>
    <t xml:space="preserve">Bank charges - Jul</t>
  </si>
  <si>
    <t xml:space="preserve">BNKCHG2607</t>
  </si>
  <si>
    <t xml:space="preserve">Receipt from Yamuna Traders, Delhi against INV/26-27/0141</t>
  </si>
  <si>
    <t xml:space="preserve">PV-26-0043</t>
  </si>
  <si>
    <t xml:space="preserve">Salary and wages - Jul</t>
  </si>
  <si>
    <t xml:space="preserve">UTR9487294502</t>
  </si>
  <si>
    <t xml:space="preserve">Receipt from Magadh Agencies, Patna against INV/26-27/0115</t>
  </si>
  <si>
    <t xml:space="preserve">Receipt from Cauvery Foods, Bengaluru against INV/26-27/0147</t>
  </si>
  <si>
    <t xml:space="preserve">Receipt from Marwar Agencies, Jaipur against INV/26-27/0128</t>
  </si>
  <si>
    <t xml:space="preserve">Receipt from Doon Distributors, Dehradun against INV/26-27/0138</t>
  </si>
  <si>
    <t xml:space="preserve">Receipt from Doon Distributors, Dehradun against INV/26-27/0151</t>
  </si>
  <si>
    <t xml:space="preserve">Receipt from Cauvery Foods, Bengaluru against INV/26-27/0159</t>
  </si>
  <si>
    <t xml:space="preserve">Receipt from Krishna Distributors, Hyderabad against INV/26-27/0148</t>
  </si>
  <si>
    <t xml:space="preserve">PV-26-0044</t>
  </si>
  <si>
    <t xml:space="preserve">UTR1827230342</t>
  </si>
  <si>
    <t xml:space="preserve">Receipt from Coromandel Traders, Chennai against INV/26-27/0149</t>
  </si>
  <si>
    <t xml:space="preserve">Receipt from Krishna Distributors, Hyderabad against INV/26-27/0163</t>
  </si>
  <si>
    <t xml:space="preserve">PV-26-0045</t>
  </si>
  <si>
    <t xml:space="preserve">CHQ460980</t>
  </si>
  <si>
    <t xml:space="preserve">Receipt from Magadh Agencies, Patna against INV/26-27/0122</t>
  </si>
  <si>
    <t xml:space="preserve">Receipt from Hooghly Foods, Kolkata against INV/26-27/0165</t>
  </si>
  <si>
    <t xml:space="preserve">PV-26-0046</t>
  </si>
  <si>
    <t xml:space="preserve">Payment to State Electricity Board</t>
  </si>
  <si>
    <t xml:space="preserve">UTR8121476970</t>
  </si>
  <si>
    <t xml:space="preserve">PV-26-0047</t>
  </si>
  <si>
    <t xml:space="preserve">CHQ258819</t>
  </si>
  <si>
    <t xml:space="preserve">Receipt from Narmada Foods, Surat against INV/26-27/0166</t>
  </si>
  <si>
    <t xml:space="preserve">Receipt from Yamuna Traders, Delhi against INV/26-27/0173</t>
  </si>
  <si>
    <t xml:space="preserve">PV-26-0048</t>
  </si>
  <si>
    <t xml:space="preserve">UTR5708453424</t>
  </si>
  <si>
    <t xml:space="preserve">Receipt from Narmada Foods, Surat against INV/26-27/0160</t>
  </si>
  <si>
    <t xml:space="preserve">Receipt from Narmada Foods, Surat against INV/26-27/0169</t>
  </si>
  <si>
    <t xml:space="preserve">Receipt from Awadh Agencies, Lucknow against INV/26-27/0096</t>
  </si>
  <si>
    <t xml:space="preserve">Receipt from Brahmaputra Traders, Guwahati against INV/26-27/0152</t>
  </si>
  <si>
    <t xml:space="preserve">Receipt from Doon Distributors, Dehradun against INV/26-27/0161</t>
  </si>
  <si>
    <t xml:space="preserve">Receipt from Coromandel Traders, Chennai against INV/26-27/0167</t>
  </si>
  <si>
    <t xml:space="preserve">Receipt from Konkan Distributors, Mumbai against INV/26-27/0171</t>
  </si>
  <si>
    <t xml:space="preserve">Receipt from Yamuna Traders, Delhi against INV/26-27/0175</t>
  </si>
  <si>
    <t xml:space="preserve">PV-26-0049</t>
  </si>
  <si>
    <t xml:space="preserve">UTR7463981273</t>
  </si>
  <si>
    <t xml:space="preserve">Receipt from Doon Distributors, Dehradun against INV/26-27/0154</t>
  </si>
  <si>
    <t xml:space="preserve">Receipt from Satluj Foods, Ludhiana against INV/26-27/0168</t>
  </si>
  <si>
    <t xml:space="preserve">Receipt from Brahmaputra Traders, Guwahati against INV/26-27/0158</t>
  </si>
  <si>
    <t xml:space="preserve">PV-26-0050</t>
  </si>
  <si>
    <t xml:space="preserve">UTR9516956595</t>
  </si>
  <si>
    <t xml:space="preserve">Receipt from Periyar Agencies, Kochi against INV/26-27/0132</t>
  </si>
  <si>
    <t xml:space="preserve">Receipt from Coromandel Traders, Chennai against INV/26-27/0170</t>
  </si>
  <si>
    <t xml:space="preserve">Receipt from Konkan Distributors, Mumbai against INV/26-27/0179</t>
  </si>
  <si>
    <t xml:space="preserve">Receipt from Hooghly Foods, Kolkata against INV/26-27/0184</t>
  </si>
  <si>
    <t xml:space="preserve">PV-26-0051</t>
  </si>
  <si>
    <t xml:space="preserve">UTR2695641269</t>
  </si>
  <si>
    <t xml:space="preserve">Receipt from Yamuna Traders, Delhi against INV/26-27/0176</t>
  </si>
  <si>
    <t xml:space="preserve">Receipt from Magadh Agencies, Patna against INV/26-27/0144</t>
  </si>
  <si>
    <t xml:space="preserve">Receipt from Narmada Foods, Surat against INV/26-27/0186</t>
  </si>
  <si>
    <t xml:space="preserve">Receipt from Hooghly Foods, Kolkata against INV/26-27/0180</t>
  </si>
  <si>
    <t xml:space="preserve">Receipt from Yamuna Traders, Delhi against INV/26-27/0181</t>
  </si>
  <si>
    <t xml:space="preserve">Receipt from Hooghly Foods, Kolkata against INV/26-27/0194</t>
  </si>
  <si>
    <t xml:space="preserve">PV-26-0052</t>
  </si>
  <si>
    <t xml:space="preserve">CHQ101413</t>
  </si>
  <si>
    <t xml:space="preserve">Receipt from Konkan Distributors, Mumbai against INV/26-27/0178</t>
  </si>
  <si>
    <t xml:space="preserve">Receipt from Narmada Foods, Surat against INV/26-27/0190</t>
  </si>
  <si>
    <t xml:space="preserve">Receipt from Krishna Distributors, Hyderabad against INV/26-27/0183</t>
  </si>
  <si>
    <t xml:space="preserve">Receipt from Krishna Distributors, Hyderabad against INV/26-27/0193</t>
  </si>
  <si>
    <t xml:space="preserve">Receipt from Konkan Distributors, Mumbai against INV/26-27/0196</t>
  </si>
  <si>
    <t xml:space="preserve">PV-26-0053</t>
  </si>
  <si>
    <t xml:space="preserve">Bank charges - Aug</t>
  </si>
  <si>
    <t xml:space="preserve">BNKCHG2608</t>
  </si>
  <si>
    <t xml:space="preserve">Receipt from Magadh Agencies, Patna against INV/26-27/0153</t>
  </si>
  <si>
    <t xml:space="preserve">Receipt from Krishna Distributors, Hyderabad against INV/26-27/0192</t>
  </si>
  <si>
    <t xml:space="preserve">PV-26-0054</t>
  </si>
  <si>
    <t xml:space="preserve">Salary and wages - Aug</t>
  </si>
  <si>
    <t xml:space="preserve">UTR1599735033</t>
  </si>
  <si>
    <t xml:space="preserve">Receipt from Brahmaputra Traders, Guwahati against INV/26-27/0182</t>
  </si>
  <si>
    <t xml:space="preserve">Receipt from Narmada Foods, Surat against INV/26-27/0189</t>
  </si>
  <si>
    <t xml:space="preserve">Receipt from Coromandel Traders, Chennai against INV/26-27/0195</t>
  </si>
  <si>
    <t xml:space="preserve">Receipt from Periyar Agencies, Kochi against INV/26-27/0150</t>
  </si>
  <si>
    <t xml:space="preserve">Receipt from Magadh Agencies, Patna against INV/26-27/0156</t>
  </si>
  <si>
    <t xml:space="preserve">Receipt from Yamuna Traders, Delhi against INV/26-27/0200</t>
  </si>
  <si>
    <t xml:space="preserve">PV-26-0055</t>
  </si>
  <si>
    <t xml:space="preserve">UTR5658765767</t>
  </si>
  <si>
    <t xml:space="preserve">Receipt from Marwar Agencies, Jaipur against INV/26-27/0162</t>
  </si>
  <si>
    <t xml:space="preserve">Receipt from Yamuna Traders, Delhi against INV/26-27/0187</t>
  </si>
  <si>
    <t xml:space="preserve">Receipt from Hooghly Foods, Kolkata against INV/26-27/0188</t>
  </si>
  <si>
    <t xml:space="preserve">Receipt from Narmada Foods, Surat against INV/26-27/0202</t>
  </si>
  <si>
    <t xml:space="preserve">Receipt from Marwar Agencies, Jaipur against INV/26-27/0172</t>
  </si>
  <si>
    <t xml:space="preserve">Receipt from Konkan Distributors, Mumbai against INV/26-27/0217</t>
  </si>
  <si>
    <t xml:space="preserve">PV-26-0056</t>
  </si>
  <si>
    <t xml:space="preserve">UTR1738800382</t>
  </si>
  <si>
    <t xml:space="preserve">Receipt from Yamuna Traders, Delhi against INV/26-27/0199</t>
  </si>
  <si>
    <t xml:space="preserve">Receipt from Hooghly Foods, Kolkata against INV/26-27/0216</t>
  </si>
  <si>
    <t xml:space="preserve">Receipt from Magadh Agencies, Patna against INV/26-27/0174</t>
  </si>
  <si>
    <t xml:space="preserve">Receipt from Krishna Distributors, Hyderabad against INV/26-27/0198</t>
  </si>
  <si>
    <t xml:space="preserve">Receipt from Krishna Distributors, Hyderabad against INV/26-27/0201</t>
  </si>
  <si>
    <t xml:space="preserve">Receipt from Narmada Foods, Surat against INV/26-27/0206</t>
  </si>
  <si>
    <t xml:space="preserve">Receipt from Cauvery Foods, Bengaluru against INV/26-27/0208</t>
  </si>
  <si>
    <t xml:space="preserve">Receipt from Yamuna Traders, Delhi against INV/26-27/0210</t>
  </si>
  <si>
    <t xml:space="preserve">Receipt from Krishna Distributors, Hyderabad against INV/26-27/0218</t>
  </si>
  <si>
    <t xml:space="preserve">PV-26-0057</t>
  </si>
  <si>
    <t xml:space="preserve">CHQ666837</t>
  </si>
  <si>
    <t xml:space="preserve">PV-26-0058</t>
  </si>
  <si>
    <t xml:space="preserve">UTR3241386476</t>
  </si>
  <si>
    <t xml:space="preserve">Receipt from Satluj Foods, Ludhiana against INV/26-27/0197</t>
  </si>
  <si>
    <t xml:space="preserve">Receipt from Brahmaputra Traders, Guwahati against INV/26-27/0203</t>
  </si>
  <si>
    <t xml:space="preserve">Receipt from Narmada Foods, Surat against INV/26-27/0204</t>
  </si>
  <si>
    <t xml:space="preserve">Receipt from Hooghly Foods, Kolkata against INV/26-27/0225</t>
  </si>
  <si>
    <t xml:space="preserve">Receipt from Periyar Agencies, Kochi against INV/26-27/0157</t>
  </si>
  <si>
    <t xml:space="preserve">Receipt from Coromandel Traders, Chennai against INV/26-27/0223</t>
  </si>
  <si>
    <t xml:space="preserve">PV-26-0059</t>
  </si>
  <si>
    <t xml:space="preserve">UTR8572895040</t>
  </si>
  <si>
    <t xml:space="preserve">Receipt from Magadh Agencies, Patna against INV/26-27/0185</t>
  </si>
  <si>
    <t xml:space="preserve">Receipt from Hooghly Foods, Kolkata against INV/26-27/0212</t>
  </si>
  <si>
    <t xml:space="preserve">Receipt from Hooghly Foods, Kolkata against INV/26-27/0215</t>
  </si>
  <si>
    <t xml:space="preserve">Receipt from Cauvery Foods, Bengaluru against INV/26-27/0222</t>
  </si>
  <si>
    <t xml:space="preserve">Receipt from Hooghly Foods, Kolkata against INV/26-27/0228</t>
  </si>
  <si>
    <t xml:space="preserve">PV-26-0060</t>
  </si>
  <si>
    <t xml:space="preserve">UTR0664676758</t>
  </si>
  <si>
    <t xml:space="preserve">PV-26-0061</t>
  </si>
  <si>
    <t xml:space="preserve">CHQ634088</t>
  </si>
  <si>
    <t xml:space="preserve">PV-26-0062</t>
  </si>
  <si>
    <t xml:space="preserve">UTR9981364154</t>
  </si>
  <si>
    <t xml:space="preserve">Receipt from Brahmaputra Traders, Guwahati against INV/26-27/0219</t>
  </si>
  <si>
    <t xml:space="preserve">Receipt from Hooghly Foods, Kolkata against INV/26-27/0220</t>
  </si>
  <si>
    <t xml:space="preserve">Receipt from Periyar Agencies, Kochi against INV/26-27/0177</t>
  </si>
  <si>
    <t xml:space="preserve">PV-26-0063</t>
  </si>
  <si>
    <t xml:space="preserve">CHQ577950</t>
  </si>
  <si>
    <t xml:space="preserve">PV-26-0064</t>
  </si>
  <si>
    <t xml:space="preserve">CHQ724254</t>
  </si>
  <si>
    <t xml:space="preserve">Receipt from Marwar Agencies, Jaipur against INV/26-27/0207</t>
  </si>
  <si>
    <t xml:space="preserve">Receipt from Doon Distributors, Dehradun against INV/26-27/0224</t>
  </si>
  <si>
    <t xml:space="preserve">Bank statement</t>
  </si>
  <si>
    <t xml:space="preserve">As received from the bank for the period. Status shows whether the entry has been found in the cash book.</t>
  </si>
  <si>
    <t xml:space="preserve">Narration</t>
  </si>
  <si>
    <t xml:space="preserve">Debit (₹)</t>
  </si>
  <si>
    <t xml:space="preserve">Credit (₹)</t>
  </si>
  <si>
    <t xml:space="preserve">Running balance (₹)</t>
  </si>
  <si>
    <t xml:space="preserve">Category</t>
  </si>
  <si>
    <t xml:space="preserve">In cash book?</t>
  </si>
  <si>
    <t xml:space="preserve">NEFT DR-UTR4286505316-SALARY AND WAGES - MAR</t>
  </si>
  <si>
    <t xml:space="preserve">Salary</t>
  </si>
  <si>
    <t xml:space="preserve">NEFT DR-UTR4620991833-FLEXI PACKAGING</t>
  </si>
  <si>
    <t xml:space="preserve">Supplier</t>
  </si>
  <si>
    <t xml:space="preserve">NEFT DR-UTR4014921623-OFFICE AND GODOWN RENT</t>
  </si>
  <si>
    <t xml:space="preserve">Rent</t>
  </si>
  <si>
    <t xml:space="preserve">NEFT CR-UTR3584034599-KRISHNA DISTRIBUTORS</t>
  </si>
  <si>
    <t xml:space="preserve">Customer receipt</t>
  </si>
  <si>
    <t xml:space="preserve">RTGS DR-UTR5815071420-PRINCIPAL - STOCK PURCHASE</t>
  </si>
  <si>
    <t xml:space="preserve">Stock purchase</t>
  </si>
  <si>
    <t xml:space="preserve">RTGS CR-UTR3124175006-HOOGHLY FOODS</t>
  </si>
  <si>
    <t xml:space="preserve">RTGS CR-UTR1079250188-HOOGHLY FOODS</t>
  </si>
  <si>
    <t xml:space="preserve">NEFT CR-UTR6345698554-BRAHMAPUTRA TRADERS</t>
  </si>
  <si>
    <t xml:space="preserve">RTGS CR-UTR6847349047-HOOGHLY FOODS</t>
  </si>
  <si>
    <t xml:space="preserve">RTGS CR-UTR1015548088-HOOGHLY FOODS</t>
  </si>
  <si>
    <t xml:space="preserve">Cheque CR-CHQ640771-KONKAN DISTRIBUTORS</t>
  </si>
  <si>
    <t xml:space="preserve">RTGS CR-UTR2997834210-BRAHMAPUTRA TRADERS</t>
  </si>
  <si>
    <t xml:space="preserve">CHQ PAID CHQ826512-RAPID ROADWAYS</t>
  </si>
  <si>
    <t xml:space="preserve">NEFT CR-UTR2899276652-DOON DISTRIBUTORS</t>
  </si>
  <si>
    <t xml:space="preserve">NEFT CR-UTR1717359616-HOOGHLY FOODS</t>
  </si>
  <si>
    <t xml:space="preserve">NEFT DR-UTR0996350507-GST PAYMENT</t>
  </si>
  <si>
    <t xml:space="preserve">Tax</t>
  </si>
  <si>
    <t xml:space="preserve">Cheque CR-CHQ520239-KRISHNA DISTRIBUTORS</t>
  </si>
  <si>
    <t xml:space="preserve">NEFT CR-UTR6626445643-SATLUJ FOODS</t>
  </si>
  <si>
    <t xml:space="preserve">CHQ PAID CHQ686838-CITY COURIERS</t>
  </si>
  <si>
    <t xml:space="preserve">Cheque CR-CHQ439636-COROMANDEL TRADERS</t>
  </si>
  <si>
    <t xml:space="preserve">NEFT CR-UTR0761784439-HOOGHLY FOODS</t>
  </si>
  <si>
    <t xml:space="preserve">NEFT DR-UTR3492945911-BRANDWAVE MEDIA</t>
  </si>
  <si>
    <t xml:space="preserve">RTGS CR-UTR4179258705-SATLUJ FOODS</t>
  </si>
  <si>
    <t xml:space="preserve">Cheque CR-CHQ779202-COROMANDEL TRADERS</t>
  </si>
  <si>
    <t xml:space="preserve">NEFT CR-UTR2517826915-SATLUJ FOODS</t>
  </si>
  <si>
    <t xml:space="preserve">RTGS DR-UTR9422303073-PRINCIPAL - STOCK PURCHASE</t>
  </si>
  <si>
    <t xml:space="preserve">CHQ PAID CHQ220115-PACK-RITE INDUSTRIES</t>
  </si>
  <si>
    <t xml:space="preserve">NEFT CR-UTR7636944783-SATLUJ FOODS</t>
  </si>
  <si>
    <t xml:space="preserve">NEFT DR-UTR9739760947-PACK-RITE INDUSTRIES</t>
  </si>
  <si>
    <t xml:space="preserve">RTGS CR-UTR4522683864-SATLUJ FOODS</t>
  </si>
  <si>
    <t xml:space="preserve">RTGS CR-UTR4667306640-SATLUJ FOODS</t>
  </si>
  <si>
    <t xml:space="preserve">NEFT DR-UTR3263649654-SHREE WAREHOUSING</t>
  </si>
  <si>
    <t xml:space="preserve">Cheque CR-CHQ128261-BRAHMAPUTRA TRADERS</t>
  </si>
  <si>
    <t xml:space="preserve">NEFT CR-UTR2360160594-BRAHMAPUTRA TRADERS</t>
  </si>
  <si>
    <t xml:space="preserve">NEFT CR-UTR1348128021-SATLUJ FOODS</t>
  </si>
  <si>
    <t xml:space="preserve">BANK CHARGES - APR</t>
  </si>
  <si>
    <t xml:space="preserve">Bank charges</t>
  </si>
  <si>
    <t xml:space="preserve">NEFT CR-UTR9907232492-HOOGHLY FOODS</t>
  </si>
  <si>
    <t xml:space="preserve">NEFT DR-UTR9245929358-BRANDWAVE MEDIA</t>
  </si>
  <si>
    <t xml:space="preserve">NEFT CR-UTR0855595827-NARMADA FOODS</t>
  </si>
  <si>
    <t xml:space="preserve">NEFT DR-UTR7630372492-SALARY AND WAGES - APR</t>
  </si>
  <si>
    <t xml:space="preserve">NEFT CR-UTR7601849656-CAUVERY FOODS</t>
  </si>
  <si>
    <t xml:space="preserve">Cheque CR-CHQ774625-NARMADA FOODS</t>
  </si>
  <si>
    <t xml:space="preserve">RTGS CR-UTR7629255032-MAGADH AGENCIES</t>
  </si>
  <si>
    <t xml:space="preserve">NEFT CR-UTR0646321029-BRAHMAPUTRA TRADERS</t>
  </si>
  <si>
    <t xml:space="preserve">NEFT DR-UTR9477930707-OFFICE AND GODOWN RENT</t>
  </si>
  <si>
    <t xml:space="preserve">Cheque CR-CHQ949168-BRAHMAPUTRA TRADERS</t>
  </si>
  <si>
    <t xml:space="preserve">NEFT CR-UTR5749890099-COROMANDEL TRADERS</t>
  </si>
  <si>
    <t xml:space="preserve">RTGS CR-UTR1938276210-NARMADA FOODS</t>
  </si>
  <si>
    <t xml:space="preserve">RTGS DR-UTR5601406435-PRINCIPAL - STOCK PURCHASE</t>
  </si>
  <si>
    <t xml:space="preserve">RTGS CR-UTR1831478931-DOON DISTRIBUTORS</t>
  </si>
  <si>
    <t xml:space="preserve">NEFT CR-UTR0985234529-CAUVERY FOODS</t>
  </si>
  <si>
    <t xml:space="preserve">NEFT CR-UTR6868552736-HOOGHLY FOODS</t>
  </si>
  <si>
    <t xml:space="preserve">NEFT DR-UTR9710222160-RAPID ROADWAYS</t>
  </si>
  <si>
    <t xml:space="preserve">CHQ PAID CHQ488055-BRANDWAVE MEDIA</t>
  </si>
  <si>
    <t xml:space="preserve">Cheque CR-CHQ979354-MAGADH AGENCIES</t>
  </si>
  <si>
    <t xml:space="preserve">NEFT CR-UTR0133710320-BRAHMAPUTRA TRADERS</t>
  </si>
  <si>
    <t xml:space="preserve">NEFT CR-UTR9945350200-YAMUNA TRADERS</t>
  </si>
  <si>
    <t xml:space="preserve">CHQ PAID CHQ633007-RAPID ROADWAYS</t>
  </si>
  <si>
    <t xml:space="preserve">Cheque CR-CHQ458840-SATLUJ FOODS</t>
  </si>
  <si>
    <t xml:space="preserve">Cheque CR-CHQ524970-CAUVERY FOODS</t>
  </si>
  <si>
    <t xml:space="preserve">RTGS CR-UTR5775089671-YAMUNA TRADERS</t>
  </si>
  <si>
    <t xml:space="preserve">Cheque CR-CHQ299468-COROMANDEL TRADERS</t>
  </si>
  <si>
    <t xml:space="preserve">NEFT DR-UTR3386129493-GST PAYMENT</t>
  </si>
  <si>
    <t xml:space="preserve">NEFT CR-UTR8247949141-KONKAN DISTRIBUTORS</t>
  </si>
  <si>
    <t xml:space="preserve">Cheque CR-CHQ294403-KRISHNA DISTRIBUTORS</t>
  </si>
  <si>
    <t xml:space="preserve">NEFT CR-UTR1489461479-CAUVERY FOODS</t>
  </si>
  <si>
    <t xml:space="preserve">Cheque CR-CHQ134787-PERIYAR AGENCIES</t>
  </si>
  <si>
    <t xml:space="preserve">NEFT CR-UTR5185110284-PERIYAR AGENCIES</t>
  </si>
  <si>
    <t xml:space="preserve">Cheque CR-CHQ180615-BRAHMAPUTRA TRADERS</t>
  </si>
  <si>
    <t xml:space="preserve">RTGS CR-UTR0671884380-SATLUJ FOODS</t>
  </si>
  <si>
    <t xml:space="preserve">RTGS DR-UTR9884782414-PRINCIPAL - STOCK PURCHASE</t>
  </si>
  <si>
    <t xml:space="preserve">NEFT CR-UTR7948127912-PERIYAR AGENCIES</t>
  </si>
  <si>
    <t xml:space="preserve">NEFT CR-UTR9620900505-CAUVERY FOODS</t>
  </si>
  <si>
    <t xml:space="preserve">Cheque CR-CHQ766121-CAUVERY FOODS</t>
  </si>
  <si>
    <t xml:space="preserve">RTGS CR-UTR3090475286-COROMANDEL TRADERS</t>
  </si>
  <si>
    <t xml:space="preserve">NEFT DR-UTR9344808519-TRANS INDIA CARRIERS</t>
  </si>
  <si>
    <t xml:space="preserve">NEFT CR-UTR0467867914-SATLUJ FOODS</t>
  </si>
  <si>
    <t xml:space="preserve">NEFT CR-UTR2112823625-DOON DISTRIBUTORS</t>
  </si>
  <si>
    <t xml:space="preserve">NEFT CR-UTR5864043842-COROMANDEL TRADERS</t>
  </si>
  <si>
    <t xml:space="preserve">RTGS CR-UTR8965845707-MAGADH AGENCIES</t>
  </si>
  <si>
    <t xml:space="preserve">NEFT CR-UTR8296225092-KONKAN DISTRIBUTORS</t>
  </si>
  <si>
    <t xml:space="preserve">NEFT CR-UTR6909072389-KRISHNA DISTRIBUTORS</t>
  </si>
  <si>
    <t xml:space="preserve">BANK CHARGES - MAY</t>
  </si>
  <si>
    <t xml:space="preserve">Cheque CR-CHQ945221-CAUVERY FOODS</t>
  </si>
  <si>
    <t xml:space="preserve">NEFT DR-UTR3704481142-SALARY AND WAGES - MAY</t>
  </si>
  <si>
    <t xml:space="preserve">CHQ PAID CHQ634977-MEHTA AND ASSOCIATES</t>
  </si>
  <si>
    <t xml:space="preserve">NEFT CR-UTR7842521265-DOON DISTRIBUTORS</t>
  </si>
  <si>
    <t xml:space="preserve">NEFT CR-UTR9603793988-PERIYAR AGENCIES</t>
  </si>
  <si>
    <t xml:space="preserve">RTGS CR-UTR9370728622-KONKAN DISTRIBUTORS</t>
  </si>
  <si>
    <t xml:space="preserve">NEFT CR-UTR0703555974-DOON DISTRIBUTORS</t>
  </si>
  <si>
    <t xml:space="preserve">RTGS CR-UTR1441721962-MAGADH AGENCIES</t>
  </si>
  <si>
    <t xml:space="preserve">NEFT CR-UTR6856483393-BRAHMAPUTRA TRADERS</t>
  </si>
  <si>
    <t xml:space="preserve">Cheque CR-CHQ609554-PERIYAR AGENCIES</t>
  </si>
  <si>
    <t xml:space="preserve">Cheque CR-CHQ199547-NARMADA FOODS</t>
  </si>
  <si>
    <t xml:space="preserve">RTGS CR-UTR9421229993-AWADH AGENCIES</t>
  </si>
  <si>
    <t xml:space="preserve">Cheque CR-CHQ707141-HOOGHLY FOODS</t>
  </si>
  <si>
    <t xml:space="preserve">NEFT DR-UTR0873746385-OFFICE AND GODOWN RENT</t>
  </si>
  <si>
    <t xml:space="preserve">Cheque CR-CHQ911190-SATLUJ FOODS</t>
  </si>
  <si>
    <t xml:space="preserve">RTGS CR-UTR8556564638-SATLUJ FOODS</t>
  </si>
  <si>
    <t xml:space="preserve">Cheque CR-CHQ771596-SATLUJ FOODS</t>
  </si>
  <si>
    <t xml:space="preserve">RTGS DR-UTR2793454626-PRINCIPAL - STOCK PURCHASE</t>
  </si>
  <si>
    <t xml:space="preserve">Cheque CR-CHQ357570-NARMADA FOODS</t>
  </si>
  <si>
    <t xml:space="preserve">NEFT CR-UTR3795327163-YAMUNA TRADERS</t>
  </si>
  <si>
    <t xml:space="preserve">Cheque CR-CHQ759698-YAMUNA TRADERS</t>
  </si>
  <si>
    <t xml:space="preserve">Cheque CR-CHQ841624-SATLUJ FOODS</t>
  </si>
  <si>
    <t xml:space="preserve">NEFT CR-UTR2822117196-BRAHMAPUTRA TRADERS</t>
  </si>
  <si>
    <t xml:space="preserve">NEFT CR-UTR1933187376-KRISHNA DISTRIBUTORS</t>
  </si>
  <si>
    <t xml:space="preserve">Cheque CR-CHQ847963-COROMANDEL TRADERS</t>
  </si>
  <si>
    <t xml:space="preserve">Cheque CR-CHQ367324-KRISHNA DISTRIBUTORS</t>
  </si>
  <si>
    <t xml:space="preserve">NEFT CR-UTR1913988579-COROMANDEL TRADERS</t>
  </si>
  <si>
    <t xml:space="preserve">RTGS CR-UTR7775331018-SATLUJ FOODS</t>
  </si>
  <si>
    <t xml:space="preserve">NEFT CR-UTR2097467288-BRAHMAPUTRA TRADERS</t>
  </si>
  <si>
    <t xml:space="preserve">Cheque CR-CHQ206894-KRISHNA DISTRIBUTORS</t>
  </si>
  <si>
    <t xml:space="preserve">NEFT CR-UTR2716429094-COROMANDEL TRADERS</t>
  </si>
  <si>
    <t xml:space="preserve">NEFT DR-UTR7073582197-GST PAYMENT</t>
  </si>
  <si>
    <t xml:space="preserve">RTGS CR-UTR2852763244-PERIYAR AGENCIES</t>
  </si>
  <si>
    <t xml:space="preserve">Cheque CR-CHQ196507-COROMANDEL TRADERS</t>
  </si>
  <si>
    <t xml:space="preserve">Cheque CR-CHQ290137-PERIYAR AGENCIES</t>
  </si>
  <si>
    <t xml:space="preserve">NEFT CR-UTR6644470592-BRAHMAPUTRA TRADERS</t>
  </si>
  <si>
    <t xml:space="preserve">NEFT CR-UTR9274722922-KONKAN DISTRIBUTORS</t>
  </si>
  <si>
    <t xml:space="preserve">NEFT CR-UTR5546400184-PERIYAR AGENCIES</t>
  </si>
  <si>
    <t xml:space="preserve">CHQ PAID CHQ241318-FLEXI PACKAGING</t>
  </si>
  <si>
    <t xml:space="preserve">NEFT CR-UTR5222670775-NARMADA FOODS</t>
  </si>
  <si>
    <t xml:space="preserve">NEFT CR-UTR3768764298-YAMUNA TRADERS</t>
  </si>
  <si>
    <t xml:space="preserve">RTGS DR-UTR4220701960-PRINCIPAL - STOCK PURCHASE</t>
  </si>
  <si>
    <t xml:space="preserve">Cheque CR-CHQ713678-HOOGHLY FOODS</t>
  </si>
  <si>
    <t xml:space="preserve">NEFT CR-UTR0668195024-SATLUJ FOODS</t>
  </si>
  <si>
    <t xml:space="preserve">RTGS CR-UTR4607317777-MARWAR AGENCIES</t>
  </si>
  <si>
    <t xml:space="preserve">NEFT CR-UTR9780966710-SATLUJ FOODS</t>
  </si>
  <si>
    <t xml:space="preserve">NEFT CR-UTR5056243201-BRAHMAPUTRA TRADERS</t>
  </si>
  <si>
    <t xml:space="preserve">CHQ PAID CHQ276600-CITY COURIERS</t>
  </si>
  <si>
    <t xml:space="preserve">NEFT DR-UTR3493859383-TRANS INDIA CARRIERS</t>
  </si>
  <si>
    <t xml:space="preserve">NEFT CR-UTR2331404684-MARWAR AGENCIES</t>
  </si>
  <si>
    <t xml:space="preserve">RTGS CR-UTR0793145460-DOON DISTRIBUTORS</t>
  </si>
  <si>
    <t xml:space="preserve">NEFT CR-UTR3621136970-BRAHMAPUTRA TRADERS</t>
  </si>
  <si>
    <t xml:space="preserve">RTGS CR-UTR5586026871-CAUVERY FOODS</t>
  </si>
  <si>
    <t xml:space="preserve">INTEREST CREDITED</t>
  </si>
  <si>
    <t xml:space="preserve">Interest</t>
  </si>
  <si>
    <t xml:space="preserve">NEFT DR-UTR0349781567-CITY COURIERS</t>
  </si>
  <si>
    <t xml:space="preserve">BANK CHARGES - JUN</t>
  </si>
  <si>
    <t xml:space="preserve">Cheque CR-CHQ593423-SATLUJ FOODS</t>
  </si>
  <si>
    <t xml:space="preserve">NEFT DR-UTR5179276577-SALARY AND WAGES - JUN</t>
  </si>
  <si>
    <t xml:space="preserve">Cheque CR-CHQ575591-KONKAN DISTRIBUTORS</t>
  </si>
  <si>
    <t xml:space="preserve">RTGS CR-UTR1205696852-CAUVERY FOODS</t>
  </si>
  <si>
    <t xml:space="preserve">NEFT CR-UTR9457439032-SATLUJ FOODS</t>
  </si>
  <si>
    <t xml:space="preserve">NEFT DR-UTR1553223477-OFFICE AND GODOWN RENT</t>
  </si>
  <si>
    <t xml:space="preserve">RTGS CR-UTR9788452675-DOON DISTRIBUTORS</t>
  </si>
  <si>
    <t xml:space="preserve">NEFT CR-UTR9901049273-KRISHNA DISTRIBUTORS</t>
  </si>
  <si>
    <t xml:space="preserve">RTGS DR-UTR4893030675-PRINCIPAL - STOCK PURCHASE</t>
  </si>
  <si>
    <t xml:space="preserve">RTGS CR-UTR4289650105-KONKAN DISTRIBUTORS</t>
  </si>
  <si>
    <t xml:space="preserve">RTGS CR-UTR1906131340-AWADH AGENCIES</t>
  </si>
  <si>
    <t xml:space="preserve">Cheque CR-CHQ634376-YAMUNA TRADERS</t>
  </si>
  <si>
    <t xml:space="preserve">NEFT CR-UTR4521737507-YAMUNA TRADERS</t>
  </si>
  <si>
    <t xml:space="preserve">NEFT CR-UTR1469566974-MAGADH AGENCIES</t>
  </si>
  <si>
    <t xml:space="preserve">NEFT CR-UTR8815653434-DOON DISTRIBUTORS</t>
  </si>
  <si>
    <t xml:space="preserve">RTGS CR-UTR6123289926-BRAHMAPUTRA TRADERS</t>
  </si>
  <si>
    <t xml:space="preserve">NEFT CR-UTR5580258442-KONKAN DISTRIBUTORS</t>
  </si>
  <si>
    <t xml:space="preserve">NEFT CR-UTR3920759358-PERIYAR AGENCIES</t>
  </si>
  <si>
    <t xml:space="preserve">NEFT CR-UTR8383280385-YAMUNA TRADERS</t>
  </si>
  <si>
    <t xml:space="preserve">NEFT CR-UTR9790940431-NARMADA FOODS</t>
  </si>
  <si>
    <t xml:space="preserve">NEFT CR-UTR8472938833-HOOGHLY FOODS</t>
  </si>
  <si>
    <t xml:space="preserve">NEFT CR-UTR6567792469-PERIYAR AGENCIES</t>
  </si>
  <si>
    <t xml:space="preserve">NEFT CR-UTR6456917551-COROMANDEL TRADERS</t>
  </si>
  <si>
    <t xml:space="preserve">NEFT CR-UTR1320278903-YAMUNA TRADERS</t>
  </si>
  <si>
    <t xml:space="preserve">Cheque CR-CHQ268128-SATLUJ FOODS</t>
  </si>
  <si>
    <t xml:space="preserve">NEFT CR-UTR4012076566-PERIYAR AGENCIES</t>
  </si>
  <si>
    <t xml:space="preserve">NEFT DR-UTR9851382919-GST PAYMENT</t>
  </si>
  <si>
    <t xml:space="preserve">Cheque CR-CHQ428361-YAMUNA TRADERS</t>
  </si>
  <si>
    <t xml:space="preserve">NEFT CR-UTR9151258617-SATLUJ FOODS</t>
  </si>
  <si>
    <t xml:space="preserve">Cheque CR-CHQ642096-DOON DISTRIBUTORS</t>
  </si>
  <si>
    <t xml:space="preserve">NEFT CR-UTR2734636842-KRISHNA DISTRIBUTORS</t>
  </si>
  <si>
    <t xml:space="preserve">Cheque CR-CHQ131613-YAMUNA TRADERS</t>
  </si>
  <si>
    <t xml:space="preserve">RTGS CR-UTR6696282785-COROMANDEL TRADERS</t>
  </si>
  <si>
    <t xml:space="preserve">RTGS CR-UTR8039360154-KONKAN DISTRIBUTORS</t>
  </si>
  <si>
    <t xml:space="preserve">RTGS DR-UTR3947522202-PRINCIPAL - STOCK PURCHASE</t>
  </si>
  <si>
    <t xml:space="preserve">Cheque CR-CHQ484094-HOOGHLY FOODS</t>
  </si>
  <si>
    <t xml:space="preserve">NEFT CR-UTR8986126941-YAMUNA TRADERS</t>
  </si>
  <si>
    <t xml:space="preserve">NEFT CR-UTR9446789781-HOOGHLY FOODS</t>
  </si>
  <si>
    <t xml:space="preserve">RTGS CR-UTR8608369558-NARMADA FOODS</t>
  </si>
  <si>
    <t xml:space="preserve">NEFT DR-UTR5462520569-PRECISION ENGINEERING WORKS</t>
  </si>
  <si>
    <t xml:space="preserve">Cheque CR-CHQ430891-SATLUJ FOODS</t>
  </si>
  <si>
    <t xml:space="preserve">Cheque CR-CHQ272431-MARWAR AGENCIES</t>
  </si>
  <si>
    <t xml:space="preserve">NEFT CR-UTR1344267575-MARWAR AGENCIES</t>
  </si>
  <si>
    <t xml:space="preserve">RTGS CR-UTR1613370029-KRISHNA DISTRIBUTORS</t>
  </si>
  <si>
    <t xml:space="preserve">BANK CHARGES - JUL</t>
  </si>
  <si>
    <t xml:space="preserve">Cheque CR-CHQ131775-HOOGHLY FOODS</t>
  </si>
  <si>
    <t xml:space="preserve">NEFT CR-UTR2504808490-YAMUNA TRADERS</t>
  </si>
  <si>
    <t xml:space="preserve">NEFT DR-UTR9487294502-SALARY AND WAGES - JUL</t>
  </si>
  <si>
    <t xml:space="preserve">Cheque CR-CHQ537691-MAGADH AGENCIES</t>
  </si>
  <si>
    <t xml:space="preserve">Cheque CR-CHQ805332-BRAHMAPUTRA TRADERS</t>
  </si>
  <si>
    <t xml:space="preserve">NEFT CR-UTR0084381741-MAGADH AGENCIES</t>
  </si>
  <si>
    <t xml:space="preserve">Cheque CR-CHQ411816-CAUVERY FOODS</t>
  </si>
  <si>
    <t xml:space="preserve">NEFT CR-UTR5966903908-DOON DISTRIBUTORS</t>
  </si>
  <si>
    <t xml:space="preserve">RTGS CR-UTR2318759629-CAUVERY FOODS</t>
  </si>
  <si>
    <t xml:space="preserve">NEFT CR-UTR1512858630-KRISHNA DISTRIBUTORS</t>
  </si>
  <si>
    <t xml:space="preserve">NEFT DR-UTR1827230342-OFFICE AND GODOWN RENT</t>
  </si>
  <si>
    <t xml:space="preserve">Cheque CR-CHQ361834-MARWAR AGENCIES</t>
  </si>
  <si>
    <t xml:space="preserve">Cheque CR-CHQ416670-DOON DISTRIBUTORS</t>
  </si>
  <si>
    <t xml:space="preserve">RTGS CR-UTR2044714359-COROMANDEL TRADERS</t>
  </si>
  <si>
    <t xml:space="preserve">RTGS CR-UTR6786477477-MAGADH AGENCIES</t>
  </si>
  <si>
    <t xml:space="preserve">Cheque CR-CHQ796435-KRISHNA DISTRIBUTORS</t>
  </si>
  <si>
    <t xml:space="preserve">NEFT DR-UTR8121476970-STATE ELECTRICITY BOARD</t>
  </si>
  <si>
    <t xml:space="preserve">Cheque CR-CHQ649086-HOOGHLY FOODS</t>
  </si>
  <si>
    <t xml:space="preserve">NEFT CR-UTR9285608533-MARWAR AGENCIES</t>
  </si>
  <si>
    <t xml:space="preserve">NEFT CR-UTR0668493924-NARMADA FOODS</t>
  </si>
  <si>
    <t xml:space="preserve">RTGS CR-UTR1586015580-YAMUNA TRADERS</t>
  </si>
  <si>
    <t xml:space="preserve">RTGS DR-UTR5708453424-PRINCIPAL - STOCK PURCHASE</t>
  </si>
  <si>
    <t xml:space="preserve">NEFT CR-UTR5213039121-NARMADA FOODS</t>
  </si>
  <si>
    <t xml:space="preserve">NEFT CR-UTR3125104203-NARMADA FOODS</t>
  </si>
  <si>
    <t xml:space="preserve">NEFT CR-UTR0688273974-KRISHNA DISTRIBUTORS</t>
  </si>
  <si>
    <t xml:space="preserve">CHQ PAID CHQ258819-TRANS INDIA CARRIERS</t>
  </si>
  <si>
    <t xml:space="preserve">NEFT CR-UTR5481577453-BRAHMAPUTRA TRADERS</t>
  </si>
  <si>
    <t xml:space="preserve">NEFT CR-UTR5950373168-DOON DISTRIBUTORS</t>
  </si>
  <si>
    <t xml:space="preserve">NEFT CR-UTR5763199740-COROMANDEL TRADERS</t>
  </si>
  <si>
    <t xml:space="preserve">NEFT CR-UTR0326960726-KONKAN DISTRIBUTORS</t>
  </si>
  <si>
    <t xml:space="preserve">CHQ PAID CHQ460980-SHREE WAREHOUSING</t>
  </si>
  <si>
    <t xml:space="preserve">Cheque CR-CHQ285385-AWADH AGENCIES</t>
  </si>
  <si>
    <t xml:space="preserve">NEFT CR-UTR5774500628-YAMUNA TRADERS</t>
  </si>
  <si>
    <t xml:space="preserve">NEFT DR-UTR7463981273-CITY COURIERS</t>
  </si>
  <si>
    <t xml:space="preserve">NEFT CR-UTR0148374756-DOON DISTRIBUTORS</t>
  </si>
  <si>
    <t xml:space="preserve">NEFT CR-UTR1929481879-SATLUJ FOODS</t>
  </si>
  <si>
    <t xml:space="preserve">NEFT CR-UTR2361311493-BRAHMAPUTRA TRADERS</t>
  </si>
  <si>
    <t xml:space="preserve">NEFT DR-UTR9516956595-GST PAYMENT</t>
  </si>
  <si>
    <t xml:space="preserve">NEFT CR-UTR1274446709-DOON DISTRIBUTORS</t>
  </si>
  <si>
    <t xml:space="preserve">NEFT CR-UTR8467239963-KRISHNA DISTRIBUTORS</t>
  </si>
  <si>
    <t xml:space="preserve">NEFT CR-UTR4458785927-COROMANDEL TRADERS</t>
  </si>
  <si>
    <t xml:space="preserve">NEFT CR-UTR8994454226-PERIYAR AGENCIES</t>
  </si>
  <si>
    <t xml:space="preserve">Cheque CR-CHQ174760-HOOGHLY FOODS</t>
  </si>
  <si>
    <t xml:space="preserve">RTGS DR-UTR2695641269-PRINCIPAL - STOCK PURCHASE</t>
  </si>
  <si>
    <t xml:space="preserve">Cheque CR-CHQ685950-KONKAN DISTRIBUTORS</t>
  </si>
  <si>
    <t xml:space="preserve">Cheque CR-CHQ266836-YAMUNA TRADERS</t>
  </si>
  <si>
    <t xml:space="preserve">Cheque CR-CHQ121530-NARMADA FOODS</t>
  </si>
  <si>
    <t xml:space="preserve">Cheque CR-CHQ426373-MAGADH AGENCIES</t>
  </si>
  <si>
    <t xml:space="preserve">NEFT CR-UTR9064895862-HOOGHLY FOODS</t>
  </si>
  <si>
    <t xml:space="preserve">Cheque CR-CHQ771291-YAMUNA TRADERS</t>
  </si>
  <si>
    <t xml:space="preserve">NEFT CR-UTR6113831179-HOOGHLY FOODS</t>
  </si>
  <si>
    <t xml:space="preserve">RTGS CR-UTR8678461174-KONKAN DISTRIBUTORS</t>
  </si>
  <si>
    <t xml:space="preserve">NEFT CR-UTR5481109052-NARMADA FOODS</t>
  </si>
  <si>
    <t xml:space="preserve">Cheque CR-CHQ312884-KRISHNA DISTRIBUTORS</t>
  </si>
  <si>
    <t xml:space="preserve">NEFT CR-UTR5167229855-KRISHNA DISTRIBUTORS</t>
  </si>
  <si>
    <t xml:space="preserve">BANK CHARGES - AUG</t>
  </si>
  <si>
    <t xml:space="preserve">RTGS CR-UTR6320589087-MAGADH AGENCIES</t>
  </si>
  <si>
    <t xml:space="preserve">Cheque CR-CHQ495370-KRISHNA DISTRIBUTORS</t>
  </si>
  <si>
    <t xml:space="preserve">NEFT DR-UTR1599735033-SALARY AND WAGES - AUG</t>
  </si>
  <si>
    <t xml:space="preserve">CHQ PAID CHQ101413-RAPID ROADWAYS</t>
  </si>
  <si>
    <t xml:space="preserve">Cheque CR-CHQ870352-KONKAN DISTRIBUTORS</t>
  </si>
  <si>
    <t xml:space="preserve">NEFT CR-UTR0337410567-BRAHMAPUTRA TRADERS</t>
  </si>
  <si>
    <t xml:space="preserve">RTGS CR-UTR6835389396-NARMADA FOODS</t>
  </si>
  <si>
    <t xml:space="preserve">RTGS CR-UTR4289082904-COROMANDEL TRADERS</t>
  </si>
  <si>
    <t xml:space="preserve">NEFT CR-UTR8339109977-MAGADH AGENCIES</t>
  </si>
  <si>
    <t xml:space="preserve">Cheque CR-CHQ248812-PERIYAR AGENCIES</t>
  </si>
  <si>
    <t xml:space="preserve">NEFT CR-UTR9631513818-YAMUNA TRADERS</t>
  </si>
  <si>
    <t xml:space="preserve">NEFT DR-UTR5658765767-OFFICE AND GODOWN RENT</t>
  </si>
  <si>
    <t xml:space="preserve">NEFT CR-UTR4994259895-YAMUNA TRADERS</t>
  </si>
  <si>
    <t xml:space="preserve">RTGS CR-UTR0556684854-HOOGHLY FOODS</t>
  </si>
  <si>
    <t xml:space="preserve">Cheque CR-CHQ513829-MARWAR AGENCIES</t>
  </si>
  <si>
    <t xml:space="preserve">Cheque CR-CHQ992476-NARMADA FOODS</t>
  </si>
  <si>
    <t xml:space="preserve">NEFT CR-UTR2623026995-NARMADA FOODS</t>
  </si>
  <si>
    <t xml:space="preserve">RTGS CR-UTR0161701997-COROMANDEL TRADERS</t>
  </si>
  <si>
    <t xml:space="preserve">Cheque CR-CHQ790881-MARWAR AGENCIES</t>
  </si>
  <si>
    <t xml:space="preserve">NEFT CR-UTR3937187132-KONKAN DISTRIBUTORS</t>
  </si>
  <si>
    <t xml:space="preserve">RTGS DR-UTR1738800382-PRINCIPAL - STOCK PURCHASE</t>
  </si>
  <si>
    <t xml:space="preserve">Cheque CR-CHQ702065-KONKAN DISTRIBUTORS</t>
  </si>
  <si>
    <t xml:space="preserve">NEFT CR-UTR1859195245-YAMUNA TRADERS</t>
  </si>
  <si>
    <t xml:space="preserve">RTGS CR-UTR2491337935-HOOGHLY FOODS</t>
  </si>
  <si>
    <t xml:space="preserve">RTGS CR-UTR5634593173-MAGADH AGENCIES</t>
  </si>
  <si>
    <t xml:space="preserve">NEFT CR-UTR3731027962-KRISHNA DISTRIBUTORS</t>
  </si>
  <si>
    <t xml:space="preserve">NEFT CR-UTR6884553626-KRISHNA DISTRIBUTORS</t>
  </si>
  <si>
    <t xml:space="preserve">NEFT CR-UTR2053685139-NARMADA FOODS</t>
  </si>
  <si>
    <t xml:space="preserve">NEFT CR-UTR1380414685-YAMUNA TRADERS</t>
  </si>
  <si>
    <t xml:space="preserve">RTGS CR-UTR0414524800-CAUVERY FOODS</t>
  </si>
  <si>
    <t xml:space="preserve">NEFT CR-UTR5318581881-KRISHNA DISTRIBUTORS</t>
  </si>
  <si>
    <t xml:space="preserve">NEFT DR-UTR3241386476-PACK-RITE INDUSTRIES</t>
  </si>
  <si>
    <t xml:space="preserve">RTGS CR-UTR3640277339-SATLUJ FOODS</t>
  </si>
  <si>
    <t xml:space="preserve">CHEQUE RETURN CHARGES</t>
  </si>
  <si>
    <t xml:space="preserve">BNKRET260918</t>
  </si>
  <si>
    <t xml:space="preserve">Cheque return charges</t>
  </si>
  <si>
    <t xml:space="preserve">Cheque CR-CHQ718026-KRISHNA DISTRIBUTORS</t>
  </si>
  <si>
    <t xml:space="preserve">Cheque CR-CHQ910549-BRAHMAPUTRA TRADERS</t>
  </si>
  <si>
    <t xml:space="preserve">NEFT CR-UTR6094645219-PERIYAR AGENCIES</t>
  </si>
  <si>
    <t xml:space="preserve">NEFT DR-UTR8572895040-GST PAYMENT</t>
  </si>
  <si>
    <t xml:space="preserve">Cheque CR-CHQ957465-HOOGHLY FOODS</t>
  </si>
  <si>
    <t xml:space="preserve">CHQ PAID CHQ666837-TRANS INDIA CARRIERS</t>
  </si>
  <si>
    <t xml:space="preserve">Cheque CR-CHQ948354-NARMADA FOODS</t>
  </si>
  <si>
    <t xml:space="preserve">Cheque CR-CHQ240599-COROMANDEL TRADERS</t>
  </si>
  <si>
    <t xml:space="preserve">Cheque CR-CHQ141067-MAGADH AGENCIES</t>
  </si>
  <si>
    <t xml:space="preserve">RTGS CR-UTR3738157247-HOOGHLY FOODS</t>
  </si>
  <si>
    <t xml:space="preserve">NEFT CR-UTR1279290764-CAUVERY FOODS</t>
  </si>
  <si>
    <t xml:space="preserve">NEFT CR-UTR3983892168-HOOGHLY FOODS</t>
  </si>
  <si>
    <t xml:space="preserve">NEFT DR-UTR0664676758-STATE ELECTRICITY BOARD</t>
  </si>
  <si>
    <t xml:space="preserve">RTGS CR-UTR6570227462-HOOGHLY FOODS</t>
  </si>
  <si>
    <t xml:space="preserve">RTGS DR-UTR9981364154-PRINCIPAL - STOCK PURCHASE</t>
  </si>
  <si>
    <t xml:space="preserve">NEFT CR-UTR0821450151-BRAHMAPUTRA TRADERS</t>
  </si>
  <si>
    <t xml:space="preserve">RTGS CR-UTR1664825783-HOOGHLY FOODS</t>
  </si>
  <si>
    <t xml:space="preserve">NEFT CR-UTR7630067216-YAMUNA TRADERS</t>
  </si>
  <si>
    <t xml:space="preserve">NEFT CR - SENDER NOT IDENTIFIED</t>
  </si>
  <si>
    <t xml:space="preserve">UTR7318254265</t>
  </si>
  <si>
    <t xml:space="preserve">Unidentified credit</t>
  </si>
  <si>
    <t xml:space="preserve">RTGS CR-UTR0965269673-PERIYAR AGENCIES</t>
  </si>
  <si>
    <t xml:space="preserve">NEFT CR-UTR6700621011-MARWAR AGENCIES</t>
  </si>
  <si>
    <t xml:space="preserve">NEFT CR-UTR1708520046-NARMADA FOODS</t>
  </si>
  <si>
    <t xml:space="preserve">INTEREST CREDITED - Q2</t>
  </si>
  <si>
    <t xml:space="preserve">BNKINT2609</t>
  </si>
  <si>
    <t xml:space="preserve">BANK CHARGES - SEP</t>
  </si>
  <si>
    <t xml:space="preserve">BNKCHG2609</t>
  </si>
  <si>
    <t xml:space="preserve">Bank reconciliation statement</t>
  </si>
  <si>
    <t xml:space="preserve">Cash book to bank statement, as of the as-of date on Setup. Every line is a formula on Cash_Book and Bank_Statement.</t>
  </si>
  <si>
    <t xml:space="preserve">As of</t>
  </si>
  <si>
    <t xml:space="preserve">₹</t>
  </si>
  <si>
    <t xml:space="preserve">What it is</t>
  </si>
  <si>
    <t xml:space="preserve">Balance as per cash book</t>
  </si>
  <si>
    <t xml:space="preserve">Opening balance plus all cash book entries</t>
  </si>
  <si>
    <t xml:space="preserve">Less: receipts in books, not yet credited by bank</t>
  </si>
  <si>
    <t xml:space="preserve">Deposits in transit</t>
  </si>
  <si>
    <t xml:space="preserve">Add: payments in books, not yet debited by bank</t>
  </si>
  <si>
    <t xml:space="preserve">Cheques issued but not yet presented</t>
  </si>
  <si>
    <t xml:space="preserve">Add / (less): amount differences on matched items</t>
  </si>
  <si>
    <t xml:space="preserve">Bank amount less books amount; needs correction or follow-up</t>
  </si>
  <si>
    <t xml:space="preserve">Add: bank credits not yet in books</t>
  </si>
  <si>
    <t xml:space="preserve">Interest and unidentified deposits</t>
  </si>
  <si>
    <t xml:space="preserve">Less: bank debits not yet in books</t>
  </si>
  <si>
    <t xml:space="preserve">Bank and cheque return charges</t>
  </si>
  <si>
    <t xml:space="preserve">Balance as per bank statement (worked out)</t>
  </si>
  <si>
    <t xml:space="preserve">Balance as per bank statement (closing balance shown)</t>
  </si>
  <si>
    <t xml:space="preserve">Last running balance on the statement</t>
  </si>
  <si>
    <t xml:space="preserve">Unexplained difference (should be 0)</t>
  </si>
  <si>
    <t xml:space="preserve">Exceptions and what to do about them</t>
  </si>
  <si>
    <t xml:space="preserve">Count</t>
  </si>
  <si>
    <t xml:space="preserve">Net amount (₹)</t>
  </si>
  <si>
    <t xml:space="preserve">Action</t>
  </si>
  <si>
    <t xml:space="preserve">Matched entries</t>
  </si>
  <si>
    <t xml:space="preserve">None</t>
  </si>
  <si>
    <t xml:space="preserve">Amount differences</t>
  </si>
  <si>
    <t xml:space="preserve">Check the receipt against the bank advice, correct the cash book or raise it with the customer</t>
  </si>
  <si>
    <t xml:space="preserve">In books, not in bank: receipts</t>
  </si>
  <si>
    <t xml:space="preserve">Timing. Confirm they clear in the next statement</t>
  </si>
  <si>
    <t xml:space="preserve">In books, not in bank: payments</t>
  </si>
  <si>
    <t xml:space="preserve">Timing. Follow up cheques not presented after 3 months</t>
  </si>
  <si>
    <t xml:space="preserve">In bank, not in books: credits</t>
  </si>
  <si>
    <t xml:space="preserve">Book interest. Trace the unidentified deposit and clear it from the suspense account</t>
  </si>
  <si>
    <t xml:space="preserve">In bank, not in books: debits</t>
  </si>
  <si>
    <t xml:space="preserve">Book bank charges</t>
  </si>
  <si>
    <t xml:space="preserve">Open items needing action</t>
  </si>
  <si>
    <t xml:space="preserve">Journal entries to pass for items found only in the bank statement</t>
  </si>
  <si>
    <t xml:space="preserve">Entry</t>
  </si>
  <si>
    <t xml:space="preserve">Debit</t>
  </si>
  <si>
    <t xml:space="preserve">Credit</t>
  </si>
  <si>
    <t xml:space="preserve">Bank charges and cheque return charges</t>
  </si>
  <si>
    <t xml:space="preserve">Bank</t>
  </si>
  <si>
    <t xml:space="preserve">Interest credited by the bank</t>
  </si>
  <si>
    <t xml:space="preserve">Interest income</t>
  </si>
  <si>
    <t xml:space="preserve">Deposit received, sender not identified</t>
  </si>
  <si>
    <t xml:space="preserve">Unidentified receipts (suspense)</t>
  </si>
  <si>
    <t xml:space="preserve">Amount differences and timing items are not journalised here: they need a check first or clear on their own.</t>
  </si>
  <si>
    <t xml:space="preserve">Receivables ageing</t>
  </si>
  <si>
    <t xml:space="preserve">Built from the sales ledger at the as-of date on Setup. Ageing counts days past the due date.</t>
  </si>
  <si>
    <t xml:space="preserve">Ageing summary</t>
  </si>
  <si>
    <t xml:space="preserve">Bucket</t>
  </si>
  <si>
    <t xml:space="preserve">% of outstanding</t>
  </si>
  <si>
    <t xml:space="preserve">Invoices</t>
  </si>
  <si>
    <t xml:space="preserve">Not yet due</t>
  </si>
  <si>
    <t xml:space="preserve">1-30 days</t>
  </si>
  <si>
    <t xml:space="preserve">31-60 days</t>
  </si>
  <si>
    <t xml:space="preserve">61-90 days</t>
  </si>
  <si>
    <t xml:space="preserve">Over 90 days</t>
  </si>
  <si>
    <t xml:space="preserve">Total outstanding</t>
  </si>
  <si>
    <t xml:space="preserve">Billed in the period (₹)</t>
  </si>
  <si>
    <t xml:space="preserve">Days in the period</t>
  </si>
  <si>
    <t xml:space="preserve">Outstanding / billed in the period x days in the period</t>
  </si>
  <si>
    <t xml:space="preserve">By customer</t>
  </si>
  <si>
    <t xml:space="preserve">Collected (₹)</t>
  </si>
  <si>
    <t xml:space="preserve">Total</t>
  </si>
  <si>
    <t xml:space="preserve">Control checks</t>
  </si>
  <si>
    <t xml:space="preserve">Each check compares two figures that must agree. PASS means they do.</t>
  </si>
  <si>
    <t xml:space="preserve">#</t>
  </si>
  <si>
    <t xml:space="preserve">Area</t>
  </si>
  <si>
    <t xml:space="preserve">Check</t>
  </si>
  <si>
    <t xml:space="preserve">Expected</t>
  </si>
  <si>
    <t xml:space="preserve">Actual</t>
  </si>
  <si>
    <t xml:space="preserve">Result</t>
  </si>
  <si>
    <t xml:space="preserve">Comment</t>
  </si>
  <si>
    <t xml:space="preserve">Sales</t>
  </si>
  <si>
    <t xml:space="preserve">Invoice numbers that appear more than once</t>
  </si>
  <si>
    <t xml:space="preserve">Invoices with a customer missing from Setup</t>
  </si>
  <si>
    <t xml:space="preserve">Receipts that point to a non-existent invoice</t>
  </si>
  <si>
    <t xml:space="preserve">Receipts dated before their invoice</t>
  </si>
  <si>
    <t xml:space="preserve">Invoices collected for more than their value</t>
  </si>
  <si>
    <t xml:space="preserve">Ageing total vs outstanding per ledger (₹)</t>
  </si>
  <si>
    <t xml:space="preserve">Customer table total vs ageing total (₹)</t>
  </si>
  <si>
    <t xml:space="preserve">Region table total vs ageing total (₹)</t>
  </si>
  <si>
    <t xml:space="preserve">Monthly sales total vs ledger for the period (₹)</t>
  </si>
  <si>
    <t xml:space="preserve">Monthly collections total vs register (₹)</t>
  </si>
  <si>
    <t xml:space="preserve">Month-end receivables vs ledger outstanding (₹)</t>
  </si>
  <si>
    <t xml:space="preserve">Cash book</t>
  </si>
  <si>
    <t xml:space="preserve">Collections register amounts vs same references in cash book (₹)</t>
  </si>
  <si>
    <t xml:space="preserve">Every receipt logged is in the cash book</t>
  </si>
  <si>
    <t xml:space="preserve">Duplicate references in the cash book</t>
  </si>
  <si>
    <t xml:space="preserve">Duplicate references in the bank statement</t>
  </si>
  <si>
    <t xml:space="preserve">Closing balance vs opening + credits - debits (₹)</t>
  </si>
  <si>
    <t xml:space="preserve">Reconciliation: unexplained difference (₹)</t>
  </si>
  <si>
    <t xml:space="preserve">Open items are listed on Bank_Recon</t>
  </si>
  <si>
    <t xml:space="preserve">Matched + differences + not in bank = cash book entries</t>
  </si>
  <si>
    <t xml:space="preserve">Bank statement entries accounted for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</si>
</sst>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"/>
    <numFmt numFmtId="166" formatCode="#,##0;\(#,##0\);\-"/>
    <numFmt numFmtId="167" formatCode="0"/>
    <numFmt numFmtId="168" formatCode="0.0%;\(0.0%\);\-"/>
    <numFmt numFmtId="169" formatCode="0.0"/>
    <numFmt numFmtId="170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8"/>
      <color rgb="FF808080"/>
      <name val="Arial"/>
      <family val="0"/>
      <charset val="1"/>
    </font>
    <font>
      <sz val="8"/>
      <color rgb="FF008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808080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4F81BD"/>
      <rgbColor rgb="FFBFBFBF"/>
      <rgbColor rgb="FF808080"/>
      <rgbColor rgb="FF9999FF"/>
      <rgbColor rgb="FF7030A0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2E75B6"/>
      <rgbColor rgb="FF33CCCC"/>
      <rgbColor rgb="FF99CC00"/>
      <rgbColor rgb="FFFFC000"/>
      <rgbColor rgb="FFBF8F00"/>
      <rgbColor rgb="FFFF6600"/>
      <rgbColor rgb="FF7F7F7F"/>
      <rgbColor rgb="FF878787"/>
      <rgbColor rgb="FF1F3864"/>
      <rgbColor rgb="FF4A7EBB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billed vs collections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"Sales billed"</c:f>
              <c:strCache>
                <c:ptCount val="1"/>
                <c:pt idx="0">
                  <c:v>Sales billed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Dashboard!$A$24:$A$29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Dashboard!$C$24:$C$29</c:f>
              <c:numCache>
                <c:formatCode>#,##0;\(#,##0\);\-</c:formatCode>
                <c:ptCount val="6"/>
                <c:pt idx="0">
                  <c:v>11630026</c:v>
                </c:pt>
                <c:pt idx="1">
                  <c:v>10309503</c:v>
                </c:pt>
                <c:pt idx="2">
                  <c:v>9534597</c:v>
                </c:pt>
                <c:pt idx="3">
                  <c:v>11749827</c:v>
                </c:pt>
                <c:pt idx="4">
                  <c:v>8890596</c:v>
                </c:pt>
                <c:pt idx="5">
                  <c:v>9917973</c:v>
                </c:pt>
              </c:numCache>
            </c:numRef>
          </c:val>
        </c:ser>
        <c:ser>
          <c:idx val="1"/>
          <c:order val="1"/>
          <c:tx>
            <c:strRef>
              <c:f>"Collections"</c:f>
              <c:strCache>
                <c:ptCount val="1"/>
                <c:pt idx="0">
                  <c:v>Collections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Dashboard!$A$24:$A$29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Dashboard!$D$24:$D$29</c:f>
              <c:numCache>
                <c:formatCode>#,##0;\(#,##0\);\-</c:formatCode>
                <c:ptCount val="6"/>
                <c:pt idx="0">
                  <c:v>5879245</c:v>
                </c:pt>
                <c:pt idx="1">
                  <c:v>8819741</c:v>
                </c:pt>
                <c:pt idx="2">
                  <c:v>10615534</c:v>
                </c:pt>
                <c:pt idx="3">
                  <c:v>8811779</c:v>
                </c:pt>
                <c:pt idx="4">
                  <c:v>11230999</c:v>
                </c:pt>
                <c:pt idx="5">
                  <c:v>9677675</c:v>
                </c:pt>
              </c:numCache>
            </c:numRef>
          </c:val>
        </c:ser>
        <c:gapWidth val="150"/>
        <c:overlap val="0"/>
        <c:axId val="78080617"/>
        <c:axId val="66539743"/>
      </c:barChart>
      <c:catAx>
        <c:axId val="780806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539743"/>
        <c:crosses val="autoZero"/>
        <c:auto val="1"/>
        <c:lblAlgn val="ctr"/>
        <c:lblOffset val="100"/>
        <c:noMultiLvlLbl val="0"/>
      </c:catAx>
      <c:valAx>
        <c:axId val="665397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806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Receivables at month-end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"Receivables"</c:f>
              <c:strCache>
                <c:ptCount val="1"/>
                <c:pt idx="0">
                  <c:v>Receivables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Dashboard!$A$24:$A$29</c:f>
              <c:strCache>
                <c:ptCount val="6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</c:strCache>
            </c:strRef>
          </c:cat>
          <c:val>
            <c:numRef>
              <c:f>Dashboard!$F$24:$F$29</c:f>
              <c:numCache>
                <c:formatCode>#,##0;\(#,##0\);\-</c:formatCode>
                <c:ptCount val="6"/>
                <c:pt idx="0">
                  <c:v>15502262</c:v>
                </c:pt>
                <c:pt idx="1">
                  <c:v>16992024</c:v>
                </c:pt>
                <c:pt idx="2">
                  <c:v>15911087</c:v>
                </c:pt>
                <c:pt idx="3">
                  <c:v>18849135</c:v>
                </c:pt>
                <c:pt idx="4">
                  <c:v>16508732</c:v>
                </c:pt>
                <c:pt idx="5">
                  <c:v>16749030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248100"/>
        <c:axId val="16879867"/>
      </c:lineChart>
      <c:catAx>
        <c:axId val="85248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79867"/>
        <c:crosses val="autoZero"/>
        <c:auto val="1"/>
        <c:lblAlgn val="ctr"/>
        <c:lblOffset val="100"/>
        <c:noMultiLvlLbl val="0"/>
      </c:catAx>
      <c:valAx>
        <c:axId val="168798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2481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Ageing of outstanding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"Outstanding"</c:f>
              <c:strCache>
                <c:ptCount val="1"/>
                <c:pt idx="0">
                  <c:v>Outstanding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Receivables!$A$5:$A$9</c:f>
              <c:strCache>
                <c:ptCount val="5"/>
                <c:pt idx="0">
                  <c:v>Not yet due</c:v>
                </c:pt>
                <c:pt idx="1">
                  <c:v>1-30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Over 90 days</c:v>
                </c:pt>
              </c:strCache>
            </c:strRef>
          </c:cat>
          <c:val>
            <c:numRef>
              <c:f>Receivables!$B$5:$B$9</c:f>
              <c:numCache>
                <c:formatCode>#,##0;\(#,##0\);\-</c:formatCode>
                <c:ptCount val="5"/>
                <c:pt idx="0">
                  <c:v>10689934</c:v>
                </c:pt>
                <c:pt idx="1">
                  <c:v>3674046</c:v>
                </c:pt>
                <c:pt idx="2">
                  <c:v>826290</c:v>
                </c:pt>
                <c:pt idx="3">
                  <c:v>4228</c:v>
                </c:pt>
                <c:pt idx="4">
                  <c:v>1554532</c:v>
                </c:pt>
              </c:numCache>
            </c:numRef>
          </c:val>
        </c:ser>
        <c:gapWidth val="150"/>
        <c:overlap val="0"/>
        <c:axId val="53956123"/>
        <c:axId val="36462416"/>
      </c:barChart>
      <c:catAx>
        <c:axId val="539561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62416"/>
        <c:crosses val="autoZero"/>
        <c:auto val="1"/>
        <c:lblAlgn val="ctr"/>
        <c:lblOffset val="100"/>
        <c:noMultiLvlLbl val="0"/>
      </c:catAx>
      <c:valAx>
        <c:axId val="364624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561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customers by outstanding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"Outstanding"</c:f>
              <c:strCache>
                <c:ptCount val="1"/>
                <c:pt idx="0">
                  <c:v>Outstanding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Dashboard!$A$34:$A$38</c:f>
              <c:strCache>
                <c:ptCount val="5"/>
                <c:pt idx="0">
                  <c:v>Awadh Agencies, Lucknow</c:v>
                </c:pt>
                <c:pt idx="1">
                  <c:v>Yamuna Traders, Delhi</c:v>
                </c:pt>
                <c:pt idx="2">
                  <c:v>Satluj Foods, Ludhiana</c:v>
                </c:pt>
                <c:pt idx="3">
                  <c:v>Krishna Distributors, Hyderabad</c:v>
                </c:pt>
                <c:pt idx="4">
                  <c:v>Hooghly Foods, Kolkata</c:v>
                </c:pt>
              </c:strCache>
            </c:strRef>
          </c:cat>
          <c:val>
            <c:numRef>
              <c:f>Dashboard!$B$34:$B$38</c:f>
              <c:numCache>
                <c:formatCode>#,##0;\(#,##0\);\-</c:formatCode>
                <c:ptCount val="5"/>
                <c:pt idx="0">
                  <c:v>3728841</c:v>
                </c:pt>
                <c:pt idx="1">
                  <c:v>1668228</c:v>
                </c:pt>
                <c:pt idx="2">
                  <c:v>1572435</c:v>
                </c:pt>
                <c:pt idx="3">
                  <c:v>1236810</c:v>
                </c:pt>
                <c:pt idx="4">
                  <c:v>1233554</c:v>
                </c:pt>
              </c:numCache>
            </c:numRef>
          </c:val>
        </c:ser>
        <c:gapWidth val="150"/>
        <c:overlap val="0"/>
        <c:axId val="24482110"/>
        <c:axId val="32527266"/>
      </c:barChart>
      <c:catAx>
        <c:axId val="244821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27266"/>
        <c:crosses val="autoZero"/>
        <c:auto val="1"/>
        <c:lblAlgn val="ctr"/>
        <c:lblOffset val="100"/>
        <c:noMultiLvlLbl val="0"/>
      </c:catAx>
      <c:valAx>
        <c:axId val="325272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821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39</xdr:row>
      <xdr:rowOff>160560</xdr:rowOff>
    </xdr:from>
    <xdr:to>
      <xdr:col>3</xdr:col>
      <xdr:colOff>183600</xdr:colOff>
      <xdr:row>54</xdr:row>
      <xdr:rowOff>2880</xdr:rowOff>
    </xdr:to>
    <xdr:graphicFrame>
      <xdr:nvGraphicFramePr>
        <xdr:cNvPr id="0" name="Chart 1"/>
        <xdr:cNvGraphicFramePr/>
      </xdr:nvGraphicFramePr>
      <xdr:xfrm>
        <a:off x="0" y="7810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39</xdr:row>
      <xdr:rowOff>160560</xdr:rowOff>
    </xdr:from>
    <xdr:to>
      <xdr:col>8</xdr:col>
      <xdr:colOff>395280</xdr:colOff>
      <xdr:row>54</xdr:row>
      <xdr:rowOff>2880</xdr:rowOff>
    </xdr:to>
    <xdr:graphicFrame>
      <xdr:nvGraphicFramePr>
        <xdr:cNvPr id="1" name="Chart 2"/>
        <xdr:cNvGraphicFramePr/>
      </xdr:nvGraphicFramePr>
      <xdr:xfrm>
        <a:off x="6343560" y="7810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55</xdr:row>
      <xdr:rowOff>160920</xdr:rowOff>
    </xdr:from>
    <xdr:to>
      <xdr:col>3</xdr:col>
      <xdr:colOff>183600</xdr:colOff>
      <xdr:row>70</xdr:row>
      <xdr:rowOff>2880</xdr:rowOff>
    </xdr:to>
    <xdr:graphicFrame>
      <xdr:nvGraphicFramePr>
        <xdr:cNvPr id="2" name="Chart 3"/>
        <xdr:cNvGraphicFramePr/>
      </xdr:nvGraphicFramePr>
      <xdr:xfrm>
        <a:off x="0" y="10858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55</xdr:row>
      <xdr:rowOff>160920</xdr:rowOff>
    </xdr:from>
    <xdr:to>
      <xdr:col>8</xdr:col>
      <xdr:colOff>395280</xdr:colOff>
      <xdr:row>70</xdr:row>
      <xdr:rowOff>2880</xdr:rowOff>
    </xdr:to>
    <xdr:graphicFrame>
      <xdr:nvGraphicFramePr>
        <xdr:cNvPr id="3" name="Chart 4"/>
        <xdr:cNvGraphicFramePr/>
      </xdr:nvGraphicFramePr>
      <xdr:xfrm>
        <a:off x="6343560" y="10858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8" customFormat="false" ht="15" hidden="false" customHeight="false" outlineLevel="0" collapsed="false">
      <c r="A8" s="6" t="s">
        <v>7</v>
      </c>
      <c r="B8" s="6" t="s">
        <v>8</v>
      </c>
    </row>
    <row r="9" customFormat="false" ht="15" hidden="false" customHeight="false" outlineLevel="0" collapsed="false">
      <c r="A9" s="7" t="s">
        <v>9</v>
      </c>
      <c r="B9" s="8" t="s">
        <v>10</v>
      </c>
    </row>
    <row r="10" customFormat="false" ht="15" hidden="false" customHeight="false" outlineLevel="0" collapsed="false">
      <c r="A10" s="7" t="s">
        <v>11</v>
      </c>
      <c r="B10" s="8" t="s">
        <v>12</v>
      </c>
    </row>
    <row r="11" customFormat="false" ht="15" hidden="false" customHeight="false" outlineLevel="0" collapsed="false">
      <c r="A11" s="7" t="s">
        <v>13</v>
      </c>
      <c r="B11" s="8" t="s">
        <v>14</v>
      </c>
    </row>
    <row r="12" customFormat="false" ht="15" hidden="false" customHeight="false" outlineLevel="0" collapsed="false">
      <c r="A12" s="7" t="s">
        <v>15</v>
      </c>
      <c r="B12" s="8" t="s">
        <v>16</v>
      </c>
    </row>
    <row r="13" customFormat="false" ht="15" hidden="false" customHeight="false" outlineLevel="0" collapsed="false">
      <c r="A13" s="7" t="s">
        <v>17</v>
      </c>
      <c r="B13" s="8" t="s">
        <v>18</v>
      </c>
    </row>
    <row r="14" customFormat="false" ht="15" hidden="false" customHeight="false" outlineLevel="0" collapsed="false">
      <c r="A14" s="7" t="s">
        <v>19</v>
      </c>
      <c r="B14" s="8" t="s">
        <v>20</v>
      </c>
    </row>
    <row r="15" customFormat="false" ht="15" hidden="false" customHeight="false" outlineLevel="0" collapsed="false">
      <c r="A15" s="7" t="s">
        <v>21</v>
      </c>
      <c r="B15" s="8" t="s">
        <v>22</v>
      </c>
    </row>
    <row r="16" customFormat="false" ht="15" hidden="false" customHeight="false" outlineLevel="0" collapsed="false">
      <c r="A16" s="7" t="s">
        <v>23</v>
      </c>
      <c r="B16" s="8" t="s">
        <v>24</v>
      </c>
    </row>
    <row r="17" customFormat="false" ht="15" hidden="false" customHeight="false" outlineLevel="0" collapsed="false">
      <c r="A17" s="7" t="s">
        <v>25</v>
      </c>
      <c r="B17" s="8" t="s">
        <v>26</v>
      </c>
    </row>
    <row r="19" customFormat="false" ht="15" hidden="false" customHeight="false" outlineLevel="0" collapsed="false">
      <c r="A19" s="9" t="s">
        <v>27</v>
      </c>
      <c r="B19" s="10"/>
    </row>
    <row r="20" customFormat="false" ht="27.75" hidden="false" customHeight="true" outlineLevel="0" collapsed="false">
      <c r="A20" s="11" t="s">
        <v>28</v>
      </c>
      <c r="B20" s="11"/>
    </row>
    <row r="21" customFormat="false" ht="27.75" hidden="false" customHeight="true" outlineLevel="0" collapsed="false">
      <c r="A21" s="11" t="s">
        <v>29</v>
      </c>
      <c r="B21" s="11"/>
    </row>
    <row r="22" customFormat="false" ht="27.75" hidden="false" customHeight="true" outlineLevel="0" collapsed="false">
      <c r="A22" s="11" t="s">
        <v>30</v>
      </c>
      <c r="B22" s="11"/>
    </row>
    <row r="24" customFormat="false" ht="15" hidden="false" customHeight="false" outlineLevel="0" collapsed="false">
      <c r="A24" s="9" t="s">
        <v>31</v>
      </c>
      <c r="B24" s="10"/>
    </row>
    <row r="25" customFormat="false" ht="51.75" hidden="false" customHeight="true" outlineLevel="0" collapsed="false">
      <c r="A25" s="11" t="s">
        <v>32</v>
      </c>
      <c r="B25" s="11"/>
    </row>
    <row r="27" customFormat="false" ht="15" hidden="false" customHeight="false" outlineLevel="0" collapsed="false">
      <c r="A27" s="9" t="s">
        <v>33</v>
      </c>
      <c r="B27" s="10"/>
    </row>
    <row r="28" customFormat="false" ht="15" hidden="false" customHeight="false" outlineLevel="0" collapsed="false">
      <c r="A28" s="12" t="s">
        <v>34</v>
      </c>
      <c r="B28" s="4" t="s">
        <v>35</v>
      </c>
    </row>
    <row r="29" customFormat="false" ht="15" hidden="false" customHeight="false" outlineLevel="0" collapsed="false">
      <c r="A29" s="4" t="s">
        <v>36</v>
      </c>
      <c r="B29" s="4" t="s">
        <v>37</v>
      </c>
    </row>
    <row r="30" customFormat="false" ht="15" hidden="false" customHeight="false" outlineLevel="0" collapsed="false">
      <c r="A30" s="13" t="s">
        <v>38</v>
      </c>
      <c r="B30" s="4" t="s">
        <v>39</v>
      </c>
    </row>
    <row r="31" customFormat="false" ht="15" hidden="false" customHeight="false" outlineLevel="0" collapsed="false">
      <c r="A31" s="14" t="s">
        <v>40</v>
      </c>
      <c r="B31" s="4" t="s">
        <v>41</v>
      </c>
    </row>
  </sheetData>
  <mergeCells count="4">
    <mergeCell ref="A20:B20"/>
    <mergeCell ref="A21:B21"/>
    <mergeCell ref="A22:B22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  <col collapsed="false" customWidth="true" hidden="false" outlineLevel="0" max="5" min="5" style="0" width="22"/>
    <col collapsed="false" customWidth="true" hidden="false" outlineLevel="0" max="7" min="6" style="0" width="16"/>
    <col collapsed="false" customWidth="true" hidden="false" outlineLevel="0" max="8" min="8" style="0" width="17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5" t="s">
        <v>42</v>
      </c>
    </row>
    <row r="2" customFormat="false" ht="15" hidden="false" customHeight="false" outlineLevel="0" collapsed="false">
      <c r="A2" s="16" t="s">
        <v>43</v>
      </c>
    </row>
    <row r="4" customFormat="false" ht="15" hidden="false" customHeight="false" outlineLevel="0" collapsed="false">
      <c r="A4" s="17" t="s">
        <v>44</v>
      </c>
      <c r="B4" s="18" t="s">
        <v>45</v>
      </c>
    </row>
    <row r="5" customFormat="false" ht="15" hidden="false" customHeight="false" outlineLevel="0" collapsed="false">
      <c r="A5" s="19" t="s">
        <v>46</v>
      </c>
      <c r="B5" s="20" t="n">
        <f aca="false">INDEX(Setup!$F$13:$F$18,MATCH($B$4,Setup!$E$13:$E$18,0))</f>
        <v>46266</v>
      </c>
      <c r="C5" s="21" t="n">
        <f aca="false">EOMONTH(B5,0)</f>
        <v>46295</v>
      </c>
    </row>
    <row r="6" customFormat="false" ht="15" hidden="false" customHeight="false" outlineLevel="0" collapsed="false">
      <c r="A6" s="9" t="s">
        <v>47</v>
      </c>
      <c r="B6" s="10"/>
    </row>
    <row r="7" customFormat="false" ht="15" hidden="false" customHeight="false" outlineLevel="0" collapsed="false">
      <c r="A7" s="8" t="s">
        <v>48</v>
      </c>
      <c r="B7" s="22" t="n">
        <f aca="false">SUMIFS(Sales_Ledger!$E$6:$E$285,Sales_Ledger!$B$6:$B$285,"&gt;="&amp;$B$5,Sales_Ledger!$B$6:$B$285,"&lt;="&amp;$C$5)</f>
        <v>9917973</v>
      </c>
    </row>
    <row r="8" customFormat="false" ht="15" hidden="false" customHeight="false" outlineLevel="0" collapsed="false">
      <c r="A8" s="8" t="s">
        <v>49</v>
      </c>
      <c r="B8" s="23" t="n">
        <f aca="false">COUNTIFS(Sales_Ledger!$B$6:$B$285,"&gt;="&amp;$B$5,Sales_Ledger!$B$6:$B$285,"&lt;="&amp;$C$5)</f>
        <v>40</v>
      </c>
    </row>
    <row r="9" customFormat="false" ht="15" hidden="false" customHeight="false" outlineLevel="0" collapsed="false">
      <c r="A9" s="8" t="s">
        <v>50</v>
      </c>
      <c r="B9" s="22" t="n">
        <f aca="false">SUMIFS(Collections!$E$6:$E$239,Collections!$B$6:$B$239,"&gt;="&amp;$B$5,Collections!$B$6:$B$239,"&lt;="&amp;$C$5)</f>
        <v>9677675</v>
      </c>
    </row>
    <row r="10" customFormat="false" ht="15" hidden="false" customHeight="false" outlineLevel="0" collapsed="false">
      <c r="A10" s="8" t="s">
        <v>51</v>
      </c>
      <c r="B10" s="24" t="n">
        <f aca="false">IF(B7=0,0,B9/B7)</f>
        <v>0.975771460559532</v>
      </c>
    </row>
    <row r="11" customFormat="false" ht="15" hidden="false" customHeight="false" outlineLevel="0" collapsed="false">
      <c r="A11" s="8" t="s">
        <v>52</v>
      </c>
      <c r="B11" s="22" t="n">
        <f aca="false">SUMIFS(Sales_Ledger!$E$6:$E$285,Sales_Ledger!$B$6:$B$285,"&lt;="&amp;$C$5)-SUMIFS(Collections!$E$6:$E$239,Collections!$B$6:$B$239,"&lt;="&amp;$C$5)</f>
        <v>16749030</v>
      </c>
    </row>
    <row r="13" customFormat="false" ht="15" hidden="false" customHeight="false" outlineLevel="0" collapsed="false">
      <c r="A13" s="9" t="s">
        <v>53</v>
      </c>
      <c r="B13" s="25" t="n">
        <f aca="false">Setup!$B$5</f>
        <v>46295</v>
      </c>
    </row>
    <row r="14" customFormat="false" ht="15" hidden="false" customHeight="false" outlineLevel="0" collapsed="false">
      <c r="A14" s="8" t="s">
        <v>54</v>
      </c>
      <c r="B14" s="22" t="n">
        <f aca="false">Receivables!B10</f>
        <v>16749030</v>
      </c>
    </row>
    <row r="15" customFormat="false" ht="15" hidden="false" customHeight="false" outlineLevel="0" collapsed="false">
      <c r="A15" s="8" t="s">
        <v>55</v>
      </c>
      <c r="B15" s="22" t="n">
        <f aca="false">SUMIFS(Sales_Ledger!$I$6:$I$285,Sales_Ledger!$J$6:$J$285,"&gt;0")</f>
        <v>6059096</v>
      </c>
    </row>
    <row r="16" customFormat="false" ht="15" hidden="false" customHeight="false" outlineLevel="0" collapsed="false">
      <c r="A16" s="8" t="s">
        <v>56</v>
      </c>
      <c r="B16" s="24" t="n">
        <f aca="false">IF(B14=0,0,B15/B14)</f>
        <v>0.361758024196028</v>
      </c>
    </row>
    <row r="17" customFormat="false" ht="15" hidden="false" customHeight="false" outlineLevel="0" collapsed="false">
      <c r="A17" s="8" t="s">
        <v>57</v>
      </c>
      <c r="B17" s="22" t="n">
        <f aca="false">SUMIFS(Sales_Ledger!$I$6:$I$285,Sales_Ledger!$J$6:$J$285,"&gt;60")</f>
        <v>1558760</v>
      </c>
    </row>
    <row r="18" customFormat="false" ht="15" hidden="false" customHeight="false" outlineLevel="0" collapsed="false">
      <c r="A18" s="8" t="s">
        <v>58</v>
      </c>
      <c r="B18" s="26" t="n">
        <f aca="false">Receivables!B14</f>
        <v>49.4107347433013</v>
      </c>
    </row>
    <row r="19" customFormat="false" ht="15" hidden="false" customHeight="false" outlineLevel="0" collapsed="false">
      <c r="A19" s="8" t="s">
        <v>59</v>
      </c>
      <c r="B19" s="22" t="n">
        <f aca="false">Bank_Recon!B14</f>
        <v>0</v>
      </c>
    </row>
    <row r="20" customFormat="false" ht="15" hidden="false" customHeight="false" outlineLevel="0" collapsed="false">
      <c r="A20" s="8" t="s">
        <v>60</v>
      </c>
      <c r="B20" s="23" t="n">
        <f aca="false">Bank_Recon!B24</f>
        <v>11</v>
      </c>
    </row>
    <row r="22" customFormat="false" ht="15" hidden="false" customHeight="false" outlineLevel="0" collapsed="false">
      <c r="A22" s="9" t="s">
        <v>61</v>
      </c>
      <c r="B22" s="10"/>
      <c r="C22" s="10"/>
      <c r="D22" s="10"/>
      <c r="E22" s="10"/>
      <c r="F22" s="10"/>
      <c r="G22" s="10"/>
    </row>
    <row r="23" customFormat="false" ht="30" hidden="false" customHeight="true" outlineLevel="0" collapsed="false">
      <c r="A23" s="6" t="s">
        <v>62</v>
      </c>
      <c r="B23" s="6" t="s">
        <v>63</v>
      </c>
      <c r="C23" s="6" t="s">
        <v>48</v>
      </c>
      <c r="D23" s="6" t="s">
        <v>64</v>
      </c>
      <c r="E23" s="6" t="s">
        <v>65</v>
      </c>
      <c r="F23" s="6" t="s">
        <v>52</v>
      </c>
      <c r="G23" s="6" t="s">
        <v>49</v>
      </c>
    </row>
    <row r="24" customFormat="false" ht="15" hidden="false" customHeight="false" outlineLevel="0" collapsed="false">
      <c r="A24" s="27" t="str">
        <f aca="false">Setup!E13</f>
        <v>Apr-26</v>
      </c>
      <c r="B24" s="28" t="n">
        <f aca="false">EOMONTH(Setup!F13,0)</f>
        <v>46142</v>
      </c>
      <c r="C24" s="29" t="n">
        <f aca="false">SUMIFS(Sales_Ledger!$E$6:$E$285,Sales_Ledger!$B$6:$B$285,"&gt;="&amp;Setup!F13,Sales_Ledger!$B$6:$B$285,"&lt;="&amp;B24)</f>
        <v>11630026</v>
      </c>
      <c r="D24" s="29" t="n">
        <f aca="false">SUMIFS(Collections!$E$6:$E$239,Collections!$B$6:$B$239,"&gt;="&amp;Setup!F13,Collections!$B$6:$B$239,"&lt;="&amp;B24)</f>
        <v>5879245</v>
      </c>
      <c r="E24" s="30" t="n">
        <f aca="false">IF(C24=0,0,D24/C24)</f>
        <v>0.5055229455205</v>
      </c>
      <c r="F24" s="29" t="n">
        <f aca="false">SUMIFS(Sales_Ledger!$E$6:$E$285,Sales_Ledger!$B$6:$B$285,"&lt;="&amp;B24)-SUMIFS(Collections!$E$6:$E$239,Collections!$B$6:$B$239,"&lt;="&amp;B24)</f>
        <v>15502262</v>
      </c>
      <c r="G24" s="31" t="n">
        <f aca="false">COUNTIFS(Sales_Ledger!$B$6:$B$285,"&gt;="&amp;Setup!F13,Sales_Ledger!$B$6:$B$285,"&lt;="&amp;B24)</f>
        <v>40</v>
      </c>
    </row>
    <row r="25" customFormat="false" ht="15" hidden="false" customHeight="false" outlineLevel="0" collapsed="false">
      <c r="A25" s="27" t="str">
        <f aca="false">Setup!E14</f>
        <v>May-26</v>
      </c>
      <c r="B25" s="28" t="n">
        <f aca="false">EOMONTH(Setup!F14,0)</f>
        <v>46173</v>
      </c>
      <c r="C25" s="29" t="n">
        <f aca="false">SUMIFS(Sales_Ledger!$E$6:$E$285,Sales_Ledger!$B$6:$B$285,"&gt;="&amp;Setup!F14,Sales_Ledger!$B$6:$B$285,"&lt;="&amp;B25)</f>
        <v>10309503</v>
      </c>
      <c r="D25" s="29" t="n">
        <f aca="false">SUMIFS(Collections!$E$6:$E$239,Collections!$B$6:$B$239,"&gt;="&amp;Setup!F14,Collections!$B$6:$B$239,"&lt;="&amp;B25)</f>
        <v>8819741</v>
      </c>
      <c r="E25" s="30" t="n">
        <f aca="false">IF(C25=0,0,D25/C25)</f>
        <v>0.855496234881546</v>
      </c>
      <c r="F25" s="29" t="n">
        <f aca="false">SUMIFS(Sales_Ledger!$E$6:$E$285,Sales_Ledger!$B$6:$B$285,"&lt;="&amp;B25)-SUMIFS(Collections!$E$6:$E$239,Collections!$B$6:$B$239,"&lt;="&amp;B25)</f>
        <v>16992024</v>
      </c>
      <c r="G25" s="31" t="n">
        <f aca="false">COUNTIFS(Sales_Ledger!$B$6:$B$285,"&gt;="&amp;Setup!F14,Sales_Ledger!$B$6:$B$285,"&lt;="&amp;B25)</f>
        <v>40</v>
      </c>
    </row>
    <row r="26" customFormat="false" ht="15" hidden="false" customHeight="false" outlineLevel="0" collapsed="false">
      <c r="A26" s="27" t="str">
        <f aca="false">Setup!E15</f>
        <v>Jun-26</v>
      </c>
      <c r="B26" s="28" t="n">
        <f aca="false">EOMONTH(Setup!F15,0)</f>
        <v>46203</v>
      </c>
      <c r="C26" s="29" t="n">
        <f aca="false">SUMIFS(Sales_Ledger!$E$6:$E$285,Sales_Ledger!$B$6:$B$285,"&gt;="&amp;Setup!F15,Sales_Ledger!$B$6:$B$285,"&lt;="&amp;B26)</f>
        <v>9534597</v>
      </c>
      <c r="D26" s="29" t="n">
        <f aca="false">SUMIFS(Collections!$E$6:$E$239,Collections!$B$6:$B$239,"&gt;="&amp;Setup!F15,Collections!$B$6:$B$239,"&lt;="&amp;B26)</f>
        <v>10615534</v>
      </c>
      <c r="E26" s="30" t="n">
        <f aca="false">IF(C26=0,0,D26/C26)</f>
        <v>1.11336997253266</v>
      </c>
      <c r="F26" s="29" t="n">
        <f aca="false">SUMIFS(Sales_Ledger!$E$6:$E$285,Sales_Ledger!$B$6:$B$285,"&lt;="&amp;B26)-SUMIFS(Collections!$E$6:$E$239,Collections!$B$6:$B$239,"&lt;="&amp;B26)</f>
        <v>15911087</v>
      </c>
      <c r="G26" s="31" t="n">
        <f aca="false">COUNTIFS(Sales_Ledger!$B$6:$B$285,"&gt;="&amp;Setup!F15,Sales_Ledger!$B$6:$B$285,"&lt;="&amp;B26)</f>
        <v>40</v>
      </c>
    </row>
    <row r="27" customFormat="false" ht="15" hidden="false" customHeight="false" outlineLevel="0" collapsed="false">
      <c r="A27" s="27" t="str">
        <f aca="false">Setup!E16</f>
        <v>Jul-26</v>
      </c>
      <c r="B27" s="28" t="n">
        <f aca="false">EOMONTH(Setup!F16,0)</f>
        <v>46234</v>
      </c>
      <c r="C27" s="29" t="n">
        <f aca="false">SUMIFS(Sales_Ledger!$E$6:$E$285,Sales_Ledger!$B$6:$B$285,"&gt;="&amp;Setup!F16,Sales_Ledger!$B$6:$B$285,"&lt;="&amp;B27)</f>
        <v>11749827</v>
      </c>
      <c r="D27" s="29" t="n">
        <f aca="false">SUMIFS(Collections!$E$6:$E$239,Collections!$B$6:$B$239,"&gt;="&amp;Setup!F16,Collections!$B$6:$B$239,"&lt;="&amp;B27)</f>
        <v>8811779</v>
      </c>
      <c r="E27" s="30" t="n">
        <f aca="false">IF(C27=0,0,D27/C27)</f>
        <v>0.749949680110184</v>
      </c>
      <c r="F27" s="29" t="n">
        <f aca="false">SUMIFS(Sales_Ledger!$E$6:$E$285,Sales_Ledger!$B$6:$B$285,"&lt;="&amp;B27)-SUMIFS(Collections!$E$6:$E$239,Collections!$B$6:$B$239,"&lt;="&amp;B27)</f>
        <v>18849135</v>
      </c>
      <c r="G27" s="31" t="n">
        <f aca="false">COUNTIFS(Sales_Ledger!$B$6:$B$285,"&gt;="&amp;Setup!F16,Sales_Ledger!$B$6:$B$285,"&lt;="&amp;B27)</f>
        <v>40</v>
      </c>
    </row>
    <row r="28" customFormat="false" ht="15" hidden="false" customHeight="false" outlineLevel="0" collapsed="false">
      <c r="A28" s="27" t="str">
        <f aca="false">Setup!E17</f>
        <v>Aug-26</v>
      </c>
      <c r="B28" s="28" t="n">
        <f aca="false">EOMONTH(Setup!F17,0)</f>
        <v>46265</v>
      </c>
      <c r="C28" s="29" t="n">
        <f aca="false">SUMIFS(Sales_Ledger!$E$6:$E$285,Sales_Ledger!$B$6:$B$285,"&gt;="&amp;Setup!F17,Sales_Ledger!$B$6:$B$285,"&lt;="&amp;B28)</f>
        <v>8890596</v>
      </c>
      <c r="D28" s="29" t="n">
        <f aca="false">SUMIFS(Collections!$E$6:$E$239,Collections!$B$6:$B$239,"&gt;="&amp;Setup!F17,Collections!$B$6:$B$239,"&lt;="&amp;B28)</f>
        <v>11230999</v>
      </c>
      <c r="E28" s="30" t="n">
        <f aca="false">IF(C28=0,0,D28/C28)</f>
        <v>1.26324478133974</v>
      </c>
      <c r="F28" s="29" t="n">
        <f aca="false">SUMIFS(Sales_Ledger!$E$6:$E$285,Sales_Ledger!$B$6:$B$285,"&lt;="&amp;B28)-SUMIFS(Collections!$E$6:$E$239,Collections!$B$6:$B$239,"&lt;="&amp;B28)</f>
        <v>16508732</v>
      </c>
      <c r="G28" s="31" t="n">
        <f aca="false">COUNTIFS(Sales_Ledger!$B$6:$B$285,"&gt;="&amp;Setup!F17,Sales_Ledger!$B$6:$B$285,"&lt;="&amp;B28)</f>
        <v>40</v>
      </c>
    </row>
    <row r="29" customFormat="false" ht="15" hidden="false" customHeight="false" outlineLevel="0" collapsed="false">
      <c r="A29" s="27" t="str">
        <f aca="false">Setup!E18</f>
        <v>Sep-26</v>
      </c>
      <c r="B29" s="28" t="n">
        <f aca="false">EOMONTH(Setup!F18,0)</f>
        <v>46295</v>
      </c>
      <c r="C29" s="29" t="n">
        <f aca="false">SUMIFS(Sales_Ledger!$E$6:$E$285,Sales_Ledger!$B$6:$B$285,"&gt;="&amp;Setup!F18,Sales_Ledger!$B$6:$B$285,"&lt;="&amp;B29)</f>
        <v>9917973</v>
      </c>
      <c r="D29" s="29" t="n">
        <f aca="false">SUMIFS(Collections!$E$6:$E$239,Collections!$B$6:$B$239,"&gt;="&amp;Setup!F18,Collections!$B$6:$B$239,"&lt;="&amp;B29)</f>
        <v>9677675</v>
      </c>
      <c r="E29" s="30" t="n">
        <f aca="false">IF(C29=0,0,D29/C29)</f>
        <v>0.975771460559532</v>
      </c>
      <c r="F29" s="29" t="n">
        <f aca="false">SUMIFS(Sales_Ledger!$E$6:$E$285,Sales_Ledger!$B$6:$B$285,"&lt;="&amp;B29)-SUMIFS(Collections!$E$6:$E$239,Collections!$B$6:$B$239,"&lt;="&amp;B29)</f>
        <v>16749030</v>
      </c>
      <c r="G29" s="31" t="n">
        <f aca="false">COUNTIFS(Sales_Ledger!$B$6:$B$285,"&gt;="&amp;Setup!F18,Sales_Ledger!$B$6:$B$285,"&lt;="&amp;B29)</f>
        <v>40</v>
      </c>
    </row>
    <row r="30" customFormat="false" ht="15" hidden="false" customHeight="false" outlineLevel="0" collapsed="false">
      <c r="A30" s="9" t="s">
        <v>66</v>
      </c>
      <c r="C30" s="32" t="n">
        <f aca="false">SUM(C24:C29)</f>
        <v>62032522</v>
      </c>
      <c r="D30" s="32" t="n">
        <f aca="false">SUM(D24:D29)</f>
        <v>55034973</v>
      </c>
      <c r="E30" s="33" t="n">
        <f aca="false">IF(C30=0,0,D30/C30)</f>
        <v>0.887195477881747</v>
      </c>
      <c r="F30" s="32" t="n">
        <f aca="false">F29</f>
        <v>16749030</v>
      </c>
      <c r="G30" s="34" t="n">
        <f aca="false">SUM(G24:G29)</f>
        <v>240</v>
      </c>
    </row>
    <row r="32" customFormat="false" ht="15" hidden="false" customHeight="false" outlineLevel="0" collapsed="false">
      <c r="A32" s="9" t="s">
        <v>67</v>
      </c>
      <c r="B32" s="10"/>
      <c r="C32" s="10"/>
      <c r="D32" s="10"/>
      <c r="F32" s="17" t="s">
        <v>68</v>
      </c>
    </row>
    <row r="33" customFormat="false" ht="15" hidden="false" customHeight="false" outlineLevel="0" collapsed="false">
      <c r="A33" s="6" t="s">
        <v>69</v>
      </c>
      <c r="B33" s="6" t="s">
        <v>70</v>
      </c>
      <c r="C33" s="6" t="s">
        <v>55</v>
      </c>
      <c r="D33" s="6" t="s">
        <v>71</v>
      </c>
      <c r="F33" s="6" t="s">
        <v>72</v>
      </c>
      <c r="G33" s="6" t="s">
        <v>73</v>
      </c>
      <c r="H33" s="6" t="s">
        <v>70</v>
      </c>
      <c r="I33" s="6" t="s">
        <v>74</v>
      </c>
    </row>
    <row r="34" customFormat="false" ht="15" hidden="false" customHeight="false" outlineLevel="0" collapsed="false">
      <c r="A34" s="27" t="str">
        <f aca="false">INDEX(Receivables!$A$18:$A$31,MATCH(B34,Receivables!$E$18:$E$31,0))</f>
        <v>Awadh Agencies, Lucknow</v>
      </c>
      <c r="B34" s="29" t="n">
        <f aca="false">LARGE(Receivables!$E$18:$E$31,1)</f>
        <v>3728841</v>
      </c>
      <c r="C34" s="29" t="n">
        <f aca="false">B34-INDEX(Receivables!$F$18:$F$31,MATCH(B34,Receivables!$E$18:$E$31,0))</f>
        <v>2953190</v>
      </c>
      <c r="D34" s="30" t="n">
        <f aca="false">IF($B$14=0,0,B34/$B$14)</f>
        <v>0.222630265752703</v>
      </c>
      <c r="F34" s="27" t="str">
        <f aca="false">Receivables!A36</f>
        <v>East</v>
      </c>
      <c r="G34" s="29" t="n">
        <f aca="false">Receivables!B36</f>
        <v>16172440</v>
      </c>
      <c r="H34" s="29" t="n">
        <f aca="false">Receivables!D36</f>
        <v>2635789</v>
      </c>
      <c r="I34" s="35" t="n">
        <f aca="false">Receivables!F36</f>
        <v>0.321230948304284</v>
      </c>
    </row>
    <row r="35" customFormat="false" ht="15" hidden="false" customHeight="false" outlineLevel="0" collapsed="false">
      <c r="A35" s="27" t="str">
        <f aca="false">INDEX(Receivables!$A$18:$A$31,MATCH(B35,Receivables!$E$18:$E$31,0))</f>
        <v>Yamuna Traders, Delhi</v>
      </c>
      <c r="B35" s="29" t="n">
        <f aca="false">LARGE(Receivables!$E$18:$E$31,2)</f>
        <v>1668228</v>
      </c>
      <c r="C35" s="29" t="n">
        <f aca="false">B35-INDEX(Receivables!$F$18:$F$31,MATCH(B35,Receivables!$E$18:$E$31,0))</f>
        <v>10631</v>
      </c>
      <c r="D35" s="30" t="n">
        <f aca="false">IF($B$14=0,0,B35/$B$14)</f>
        <v>0.0996014694582313</v>
      </c>
      <c r="F35" s="27" t="str">
        <f aca="false">Receivables!A37</f>
        <v>West</v>
      </c>
      <c r="G35" s="29" t="n">
        <f aca="false">Receivables!B37</f>
        <v>13155611</v>
      </c>
      <c r="H35" s="29" t="n">
        <f aca="false">Receivables!D37</f>
        <v>2637492</v>
      </c>
      <c r="I35" s="35" t="n">
        <f aca="false">Receivables!F37</f>
        <v>0.196362301762432</v>
      </c>
    </row>
    <row r="36" customFormat="false" ht="15" hidden="false" customHeight="false" outlineLevel="0" collapsed="false">
      <c r="A36" s="27" t="str">
        <f aca="false">INDEX(Receivables!$A$18:$A$31,MATCH(B36,Receivables!$E$18:$E$31,0))</f>
        <v>Satluj Foods, Ludhiana</v>
      </c>
      <c r="B36" s="29" t="n">
        <f aca="false">LARGE(Receivables!$E$18:$E$31,3)</f>
        <v>1572435</v>
      </c>
      <c r="C36" s="29" t="n">
        <f aca="false">B36-INDEX(Receivables!$F$18:$F$31,MATCH(B36,Receivables!$E$18:$E$31,0))</f>
        <v>218632</v>
      </c>
      <c r="D36" s="30" t="n">
        <f aca="false">IF($B$14=0,0,B36/$B$14)</f>
        <v>0.0938821531754376</v>
      </c>
      <c r="F36" s="27" t="str">
        <f aca="false">Receivables!A38</f>
        <v>North</v>
      </c>
      <c r="G36" s="29" t="n">
        <f aca="false">Receivables!B38</f>
        <v>22656631</v>
      </c>
      <c r="H36" s="29" t="n">
        <f aca="false">Receivables!D38</f>
        <v>8037098</v>
      </c>
      <c r="I36" s="35" t="n">
        <f aca="false">Receivables!F38</f>
        <v>0.430002222195126</v>
      </c>
    </row>
    <row r="37" customFormat="false" ht="15" hidden="false" customHeight="false" outlineLevel="0" collapsed="false">
      <c r="A37" s="27" t="str">
        <f aca="false">INDEX(Receivables!$A$18:$A$31,MATCH(B37,Receivables!$E$18:$E$31,0))</f>
        <v>Krishna Distributors, Hyderabad</v>
      </c>
      <c r="B37" s="29" t="n">
        <f aca="false">LARGE(Receivables!$E$18:$E$31,4)</f>
        <v>1236810</v>
      </c>
      <c r="C37" s="29" t="n">
        <f aca="false">B37-INDEX(Receivables!$F$18:$F$31,MATCH(B37,Receivables!$E$18:$E$31,0))</f>
        <v>348546</v>
      </c>
      <c r="D37" s="30" t="n">
        <f aca="false">IF($B$14=0,0,B37/$B$14)</f>
        <v>0.0738436793056076</v>
      </c>
      <c r="F37" s="27" t="str">
        <f aca="false">Receivables!A39</f>
        <v>South</v>
      </c>
      <c r="G37" s="29" t="n">
        <f aca="false">Receivables!B39</f>
        <v>19799321</v>
      </c>
      <c r="H37" s="29" t="n">
        <f aca="false">Receivables!D39</f>
        <v>3438651</v>
      </c>
      <c r="I37" s="35" t="n">
        <f aca="false">Receivables!F39</f>
        <v>0.360177581266607</v>
      </c>
    </row>
    <row r="38" customFormat="false" ht="15" hidden="false" customHeight="false" outlineLevel="0" collapsed="false">
      <c r="A38" s="27" t="str">
        <f aca="false">INDEX(Receivables!$A$18:$A$31,MATCH(B38,Receivables!$E$18:$E$31,0))</f>
        <v>Hooghly Foods, Kolkata</v>
      </c>
      <c r="B38" s="29" t="n">
        <f aca="false">LARGE(Receivables!$E$18:$E$31,5)</f>
        <v>1233554</v>
      </c>
      <c r="C38" s="29" t="n">
        <f aca="false">B38-INDEX(Receivables!$F$18:$F$31,MATCH(B38,Receivables!$E$18:$E$31,0))</f>
        <v>406974</v>
      </c>
      <c r="D38" s="30" t="n">
        <f aca="false">IF($B$14=0,0,B38/$B$14)</f>
        <v>0.0736492799881545</v>
      </c>
    </row>
  </sheetData>
  <dataValidations count="1">
    <dataValidation allowBlank="false" errorStyle="stop" operator="between" showDropDown="false" showErrorMessage="true" showInputMessage="false" sqref="B4" type="list">
      <formula1>Setup!$E$13:$E$18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5" t="s">
        <v>11</v>
      </c>
    </row>
    <row r="2" customFormat="false" ht="15" hidden="false" customHeight="false" outlineLevel="0" collapsed="false">
      <c r="A2" s="16" t="s">
        <v>75</v>
      </c>
    </row>
    <row r="4" customFormat="false" ht="15" hidden="false" customHeight="false" outlineLevel="0" collapsed="false">
      <c r="A4" s="4" t="s">
        <v>76</v>
      </c>
      <c r="B4" s="5" t="s">
        <v>77</v>
      </c>
    </row>
    <row r="5" customFormat="false" ht="15" hidden="false" customHeight="false" outlineLevel="0" collapsed="false">
      <c r="A5" s="4" t="s">
        <v>78</v>
      </c>
      <c r="B5" s="36" t="n">
        <v>46295</v>
      </c>
    </row>
    <row r="6" customFormat="false" ht="15" hidden="false" customHeight="false" outlineLevel="0" collapsed="false">
      <c r="A6" s="4" t="s">
        <v>79</v>
      </c>
      <c r="B6" s="36" t="n">
        <v>46113</v>
      </c>
    </row>
    <row r="7" customFormat="false" ht="15" hidden="false" customHeight="false" outlineLevel="0" collapsed="false">
      <c r="A7" s="4" t="s">
        <v>80</v>
      </c>
      <c r="B7" s="37" t="n">
        <v>1250000</v>
      </c>
    </row>
    <row r="8" customFormat="false" ht="15" hidden="false" customHeight="false" outlineLevel="0" collapsed="false">
      <c r="A8" s="4" t="s">
        <v>81</v>
      </c>
      <c r="B8" s="37" t="n">
        <v>1250000</v>
      </c>
      <c r="C8" s="38" t="s">
        <v>82</v>
      </c>
    </row>
    <row r="9" customFormat="false" ht="15" hidden="false" customHeight="false" outlineLevel="0" collapsed="false">
      <c r="A9" s="4" t="s">
        <v>83</v>
      </c>
      <c r="B9" s="39" t="n">
        <v>0.5</v>
      </c>
    </row>
    <row r="12" customFormat="false" ht="15" hidden="false" customHeight="false" outlineLevel="0" collapsed="false">
      <c r="A12" s="6" t="s">
        <v>69</v>
      </c>
      <c r="B12" s="6" t="s">
        <v>72</v>
      </c>
      <c r="C12" s="6" t="s">
        <v>84</v>
      </c>
      <c r="E12" s="6" t="s">
        <v>62</v>
      </c>
      <c r="F12" s="6" t="s">
        <v>85</v>
      </c>
      <c r="G12" s="6" t="s">
        <v>86</v>
      </c>
    </row>
    <row r="13" customFormat="false" ht="15" hidden="false" customHeight="false" outlineLevel="0" collapsed="false">
      <c r="A13" s="5" t="s">
        <v>87</v>
      </c>
      <c r="B13" s="5" t="s">
        <v>88</v>
      </c>
      <c r="C13" s="40" t="n">
        <v>30</v>
      </c>
      <c r="E13" s="5" t="s">
        <v>89</v>
      </c>
      <c r="F13" s="41" t="n">
        <v>46113</v>
      </c>
      <c r="G13" s="42" t="n">
        <f aca="false">MONTH(F13)</f>
        <v>4</v>
      </c>
    </row>
    <row r="14" customFormat="false" ht="15" hidden="false" customHeight="false" outlineLevel="0" collapsed="false">
      <c r="A14" s="5" t="s">
        <v>90</v>
      </c>
      <c r="B14" s="5" t="s">
        <v>88</v>
      </c>
      <c r="C14" s="40" t="n">
        <v>30</v>
      </c>
      <c r="E14" s="5" t="s">
        <v>91</v>
      </c>
      <c r="F14" s="41" t="n">
        <v>46143</v>
      </c>
      <c r="G14" s="42" t="n">
        <f aca="false">MONTH(F14)</f>
        <v>5</v>
      </c>
    </row>
    <row r="15" customFormat="false" ht="15" hidden="false" customHeight="false" outlineLevel="0" collapsed="false">
      <c r="A15" s="5" t="s">
        <v>92</v>
      </c>
      <c r="B15" s="5" t="s">
        <v>88</v>
      </c>
      <c r="C15" s="40" t="n">
        <v>45</v>
      </c>
      <c r="E15" s="5" t="s">
        <v>93</v>
      </c>
      <c r="F15" s="41" t="n">
        <v>46174</v>
      </c>
      <c r="G15" s="42" t="n">
        <f aca="false">MONTH(F15)</f>
        <v>6</v>
      </c>
    </row>
    <row r="16" customFormat="false" ht="15" hidden="false" customHeight="false" outlineLevel="0" collapsed="false">
      <c r="A16" s="5" t="s">
        <v>94</v>
      </c>
      <c r="B16" s="5" t="s">
        <v>95</v>
      </c>
      <c r="C16" s="40" t="n">
        <v>30</v>
      </c>
      <c r="E16" s="5" t="s">
        <v>96</v>
      </c>
      <c r="F16" s="41" t="n">
        <v>46204</v>
      </c>
      <c r="G16" s="42" t="n">
        <f aca="false">MONTH(F16)</f>
        <v>7</v>
      </c>
    </row>
    <row r="17" customFormat="false" ht="15" hidden="false" customHeight="false" outlineLevel="0" collapsed="false">
      <c r="A17" s="5" t="s">
        <v>97</v>
      </c>
      <c r="B17" s="5" t="s">
        <v>95</v>
      </c>
      <c r="C17" s="40" t="n">
        <v>30</v>
      </c>
      <c r="E17" s="5" t="s">
        <v>98</v>
      </c>
      <c r="F17" s="41" t="n">
        <v>46235</v>
      </c>
      <c r="G17" s="42" t="n">
        <f aca="false">MONTH(F17)</f>
        <v>8</v>
      </c>
    </row>
    <row r="18" customFormat="false" ht="15" hidden="false" customHeight="false" outlineLevel="0" collapsed="false">
      <c r="A18" s="5" t="s">
        <v>99</v>
      </c>
      <c r="B18" s="5" t="s">
        <v>95</v>
      </c>
      <c r="C18" s="40" t="n">
        <v>45</v>
      </c>
      <c r="E18" s="5" t="s">
        <v>45</v>
      </c>
      <c r="F18" s="41" t="n">
        <v>46266</v>
      </c>
      <c r="G18" s="42" t="n">
        <f aca="false">MONTH(F18)</f>
        <v>9</v>
      </c>
    </row>
    <row r="19" customFormat="false" ht="15" hidden="false" customHeight="false" outlineLevel="0" collapsed="false">
      <c r="A19" s="5" t="s">
        <v>100</v>
      </c>
      <c r="B19" s="5" t="s">
        <v>101</v>
      </c>
      <c r="C19" s="40" t="n">
        <v>30</v>
      </c>
    </row>
    <row r="20" customFormat="false" ht="15" hidden="false" customHeight="false" outlineLevel="0" collapsed="false">
      <c r="A20" s="5" t="s">
        <v>102</v>
      </c>
      <c r="B20" s="5" t="s">
        <v>101</v>
      </c>
      <c r="C20" s="40" t="n">
        <v>30</v>
      </c>
    </row>
    <row r="21" customFormat="false" ht="15" hidden="false" customHeight="false" outlineLevel="0" collapsed="false">
      <c r="A21" s="5" t="s">
        <v>103</v>
      </c>
      <c r="B21" s="5" t="s">
        <v>101</v>
      </c>
      <c r="C21" s="40" t="n">
        <v>30</v>
      </c>
    </row>
    <row r="22" customFormat="false" ht="15" hidden="false" customHeight="false" outlineLevel="0" collapsed="false">
      <c r="A22" s="5" t="s">
        <v>104</v>
      </c>
      <c r="B22" s="5" t="s">
        <v>101</v>
      </c>
      <c r="C22" s="40" t="n">
        <v>45</v>
      </c>
    </row>
    <row r="23" customFormat="false" ht="15" hidden="false" customHeight="false" outlineLevel="0" collapsed="false">
      <c r="A23" s="5" t="s">
        <v>105</v>
      </c>
      <c r="B23" s="5" t="s">
        <v>106</v>
      </c>
      <c r="C23" s="40" t="n">
        <v>30</v>
      </c>
    </row>
    <row r="24" customFormat="false" ht="15" hidden="false" customHeight="false" outlineLevel="0" collapsed="false">
      <c r="A24" s="5" t="s">
        <v>107</v>
      </c>
      <c r="B24" s="5" t="s">
        <v>106</v>
      </c>
      <c r="C24" s="40" t="n">
        <v>30</v>
      </c>
    </row>
    <row r="25" customFormat="false" ht="15" hidden="false" customHeight="false" outlineLevel="0" collapsed="false">
      <c r="A25" s="5" t="s">
        <v>108</v>
      </c>
      <c r="B25" s="5" t="s">
        <v>106</v>
      </c>
      <c r="C25" s="40" t="n">
        <v>30</v>
      </c>
    </row>
    <row r="26" customFormat="false" ht="15" hidden="false" customHeight="false" outlineLevel="0" collapsed="false">
      <c r="A26" s="5" t="s">
        <v>109</v>
      </c>
      <c r="B26" s="5" t="s">
        <v>106</v>
      </c>
      <c r="C26" s="40" t="n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2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5" t="s">
        <v>110</v>
      </c>
    </row>
    <row r="2" customFormat="false" ht="15" hidden="false" customHeight="false" outlineLevel="0" collapsed="false">
      <c r="A2" s="16" t="s">
        <v>111</v>
      </c>
    </row>
    <row r="5" customFormat="false" ht="30" hidden="false" customHeight="true" outlineLevel="0" collapsed="false">
      <c r="A5" s="6" t="s">
        <v>112</v>
      </c>
      <c r="B5" s="6" t="s">
        <v>5</v>
      </c>
      <c r="C5" s="6" t="s">
        <v>69</v>
      </c>
      <c r="D5" s="6" t="s">
        <v>113</v>
      </c>
      <c r="E5" s="6" t="s">
        <v>114</v>
      </c>
      <c r="F5" s="6" t="s">
        <v>72</v>
      </c>
      <c r="G5" s="6" t="s">
        <v>115</v>
      </c>
      <c r="H5" s="6" t="s">
        <v>116</v>
      </c>
      <c r="I5" s="6" t="s">
        <v>70</v>
      </c>
      <c r="J5" s="6" t="s">
        <v>117</v>
      </c>
      <c r="K5" s="6" t="s">
        <v>118</v>
      </c>
    </row>
    <row r="6" customFormat="false" ht="15" hidden="false" customHeight="false" outlineLevel="0" collapsed="false">
      <c r="A6" s="5" t="s">
        <v>119</v>
      </c>
      <c r="B6" s="41" t="n">
        <v>46082</v>
      </c>
      <c r="C6" s="5" t="s">
        <v>87</v>
      </c>
      <c r="D6" s="5" t="s">
        <v>120</v>
      </c>
      <c r="E6" s="43" t="n">
        <v>366402</v>
      </c>
      <c r="F6" s="27" t="str">
        <f aca="false">INDEX(Setup!$B$13:$B$26,MATCH(C6,Setup!$A$13:$A$26,0))</f>
        <v>East</v>
      </c>
      <c r="G6" s="28" t="n">
        <f aca="false">B6+INDEX(Setup!$C$13:$C$26,MATCH(C6,Setup!$A$13:$A$26,0))</f>
        <v>46112</v>
      </c>
      <c r="H6" s="29" t="n">
        <f aca="false">SUMIFS(Collections!$E$6:$E$2000,Collections!$C$6:$C$2000,A6)</f>
        <v>366402</v>
      </c>
      <c r="I6" s="44" t="n">
        <f aca="false">E6-H6</f>
        <v>0</v>
      </c>
      <c r="J6" s="31" t="str">
        <f aca="false">IF(I6&gt;Setup!$B$9,Setup!$B$5-G6,"")</f>
        <v/>
      </c>
      <c r="K6" s="8" t="str">
        <f aca="false">IF(I6&lt;=Setup!$B$9,"Settled",IF(J6&lt;=0,"Not yet due",IF(J6&lt;=30,"1-30 days",IF(J6&lt;=60,"31-60 days",IF(J6&lt;=90,"61-90 days","Over 90 days")))))</f>
        <v>Settled</v>
      </c>
    </row>
    <row r="7" customFormat="false" ht="15" hidden="false" customHeight="false" outlineLevel="0" collapsed="false">
      <c r="A7" s="5" t="s">
        <v>121</v>
      </c>
      <c r="B7" s="41" t="n">
        <v>46082</v>
      </c>
      <c r="C7" s="5" t="s">
        <v>92</v>
      </c>
      <c r="D7" s="5" t="s">
        <v>122</v>
      </c>
      <c r="E7" s="43" t="n">
        <v>107216</v>
      </c>
      <c r="F7" s="27" t="str">
        <f aca="false">INDEX(Setup!$B$13:$B$26,MATCH(C7,Setup!$A$13:$A$26,0))</f>
        <v>East</v>
      </c>
      <c r="G7" s="28" t="n">
        <f aca="false">B7+INDEX(Setup!$C$13:$C$26,MATCH(C7,Setup!$A$13:$A$26,0))</f>
        <v>46127</v>
      </c>
      <c r="H7" s="29" t="n">
        <f aca="false">SUMIFS(Collections!$E$6:$E$2000,Collections!$C$6:$C$2000,A7)</f>
        <v>107216</v>
      </c>
      <c r="I7" s="44" t="n">
        <f aca="false">E7-H7</f>
        <v>0</v>
      </c>
      <c r="J7" s="31" t="str">
        <f aca="false">IF(I7&gt;Setup!$B$9,Setup!$B$5-G7,"")</f>
        <v/>
      </c>
      <c r="K7" s="8" t="str">
        <f aca="false">IF(I7&lt;=Setup!$B$9,"Settled",IF(J7&lt;=0,"Not yet due",IF(J7&lt;=30,"1-30 days",IF(J7&lt;=60,"31-60 days",IF(J7&lt;=90,"61-90 days","Over 90 days")))))</f>
        <v>Settled</v>
      </c>
    </row>
    <row r="8" customFormat="false" ht="15" hidden="false" customHeight="false" outlineLevel="0" collapsed="false">
      <c r="A8" s="5" t="s">
        <v>123</v>
      </c>
      <c r="B8" s="41" t="n">
        <v>46082</v>
      </c>
      <c r="C8" s="5" t="s">
        <v>87</v>
      </c>
      <c r="D8" s="5" t="s">
        <v>122</v>
      </c>
      <c r="E8" s="43" t="n">
        <v>324643</v>
      </c>
      <c r="F8" s="27" t="str">
        <f aca="false">INDEX(Setup!$B$13:$B$26,MATCH(C8,Setup!$A$13:$A$26,0))</f>
        <v>East</v>
      </c>
      <c r="G8" s="28" t="n">
        <f aca="false">B8+INDEX(Setup!$C$13:$C$26,MATCH(C8,Setup!$A$13:$A$26,0))</f>
        <v>46112</v>
      </c>
      <c r="H8" s="29" t="n">
        <f aca="false">SUMIFS(Collections!$E$6:$E$2000,Collections!$C$6:$C$2000,A8)</f>
        <v>324643</v>
      </c>
      <c r="I8" s="44" t="n">
        <f aca="false">E8-H8</f>
        <v>0</v>
      </c>
      <c r="J8" s="31" t="str">
        <f aca="false">IF(I8&gt;Setup!$B$9,Setup!$B$5-G8,"")</f>
        <v/>
      </c>
      <c r="K8" s="8" t="str">
        <f aca="false">IF(I8&lt;=Setup!$B$9,"Settled",IF(J8&lt;=0,"Not yet due",IF(J8&lt;=30,"1-30 days",IF(J8&lt;=60,"31-60 days",IF(J8&lt;=90,"61-90 days","Over 90 days")))))</f>
        <v>Settled</v>
      </c>
    </row>
    <row r="9" customFormat="false" ht="15" hidden="false" customHeight="false" outlineLevel="0" collapsed="false">
      <c r="A9" s="5" t="s">
        <v>124</v>
      </c>
      <c r="B9" s="41" t="n">
        <v>46083</v>
      </c>
      <c r="C9" s="5" t="s">
        <v>87</v>
      </c>
      <c r="D9" s="5" t="s">
        <v>122</v>
      </c>
      <c r="E9" s="43" t="n">
        <v>401007</v>
      </c>
      <c r="F9" s="27" t="str">
        <f aca="false">INDEX(Setup!$B$13:$B$26,MATCH(C9,Setup!$A$13:$A$26,0))</f>
        <v>East</v>
      </c>
      <c r="G9" s="28" t="n">
        <f aca="false">B9+INDEX(Setup!$C$13:$C$26,MATCH(C9,Setup!$A$13:$A$26,0))</f>
        <v>46113</v>
      </c>
      <c r="H9" s="29" t="n">
        <f aca="false">SUMIFS(Collections!$E$6:$E$2000,Collections!$C$6:$C$2000,A9)</f>
        <v>401007</v>
      </c>
      <c r="I9" s="44" t="n">
        <f aca="false">E9-H9</f>
        <v>0</v>
      </c>
      <c r="J9" s="31" t="str">
        <f aca="false">IF(I9&gt;Setup!$B$9,Setup!$B$5-G9,"")</f>
        <v/>
      </c>
      <c r="K9" s="8" t="str">
        <f aca="false">IF(I9&lt;=Setup!$B$9,"Settled",IF(J9&lt;=0,"Not yet due",IF(J9&lt;=30,"1-30 days",IF(J9&lt;=60,"31-60 days",IF(J9&lt;=90,"61-90 days","Over 90 days")))))</f>
        <v>Settled</v>
      </c>
    </row>
    <row r="10" customFormat="false" ht="15" hidden="false" customHeight="false" outlineLevel="0" collapsed="false">
      <c r="A10" s="5" t="s">
        <v>125</v>
      </c>
      <c r="B10" s="41" t="n">
        <v>46084</v>
      </c>
      <c r="C10" s="5" t="s">
        <v>107</v>
      </c>
      <c r="D10" s="5" t="s">
        <v>122</v>
      </c>
      <c r="E10" s="43" t="n">
        <v>214074</v>
      </c>
      <c r="F10" s="27" t="str">
        <f aca="false">INDEX(Setup!$B$13:$B$26,MATCH(C10,Setup!$A$13:$A$26,0))</f>
        <v>South</v>
      </c>
      <c r="G10" s="28" t="n">
        <f aca="false">B10+INDEX(Setup!$C$13:$C$26,MATCH(C10,Setup!$A$13:$A$26,0))</f>
        <v>46114</v>
      </c>
      <c r="H10" s="29" t="n">
        <f aca="false">SUMIFS(Collections!$E$6:$E$2000,Collections!$C$6:$C$2000,A10)</f>
        <v>214074</v>
      </c>
      <c r="I10" s="44" t="n">
        <f aca="false">E10-H10</f>
        <v>0</v>
      </c>
      <c r="J10" s="31" t="str">
        <f aca="false">IF(I10&gt;Setup!$B$9,Setup!$B$5-G10,"")</f>
        <v/>
      </c>
      <c r="K10" s="8" t="str">
        <f aca="false">IF(I10&lt;=Setup!$B$9,"Settled",IF(J10&lt;=0,"Not yet due",IF(J10&lt;=30,"1-30 days",IF(J10&lt;=60,"31-60 days",IF(J10&lt;=90,"61-90 days","Over 90 days")))))</f>
        <v>Settled</v>
      </c>
    </row>
    <row r="11" customFormat="false" ht="15" hidden="false" customHeight="false" outlineLevel="0" collapsed="false">
      <c r="A11" s="5" t="s">
        <v>126</v>
      </c>
      <c r="B11" s="41" t="n">
        <v>46084</v>
      </c>
      <c r="C11" s="5" t="s">
        <v>104</v>
      </c>
      <c r="D11" s="5" t="s">
        <v>120</v>
      </c>
      <c r="E11" s="43" t="n">
        <v>226045</v>
      </c>
      <c r="F11" s="27" t="str">
        <f aca="false">INDEX(Setup!$B$13:$B$26,MATCH(C11,Setup!$A$13:$A$26,0))</f>
        <v>North</v>
      </c>
      <c r="G11" s="28" t="n">
        <f aca="false">B11+INDEX(Setup!$C$13:$C$26,MATCH(C11,Setup!$A$13:$A$26,0))</f>
        <v>46129</v>
      </c>
      <c r="H11" s="29" t="n">
        <f aca="false">SUMIFS(Collections!$E$6:$E$2000,Collections!$C$6:$C$2000,A11)</f>
        <v>226045</v>
      </c>
      <c r="I11" s="44" t="n">
        <f aca="false">E11-H11</f>
        <v>0</v>
      </c>
      <c r="J11" s="31" t="str">
        <f aca="false">IF(I11&gt;Setup!$B$9,Setup!$B$5-G11,"")</f>
        <v/>
      </c>
      <c r="K11" s="8" t="str">
        <f aca="false">IF(I11&lt;=Setup!$B$9,"Settled",IF(J11&lt;=0,"Not yet due",IF(J11&lt;=30,"1-30 days",IF(J11&lt;=60,"31-60 days",IF(J11&lt;=90,"61-90 days","Over 90 days")))))</f>
        <v>Settled</v>
      </c>
    </row>
    <row r="12" customFormat="false" ht="15" hidden="false" customHeight="false" outlineLevel="0" collapsed="false">
      <c r="A12" s="5" t="s">
        <v>127</v>
      </c>
      <c r="B12" s="41" t="n">
        <v>46084</v>
      </c>
      <c r="C12" s="5" t="s">
        <v>107</v>
      </c>
      <c r="D12" s="5" t="s">
        <v>128</v>
      </c>
      <c r="E12" s="43" t="n">
        <v>75545</v>
      </c>
      <c r="F12" s="27" t="str">
        <f aca="false">INDEX(Setup!$B$13:$B$26,MATCH(C12,Setup!$A$13:$A$26,0))</f>
        <v>South</v>
      </c>
      <c r="G12" s="28" t="n">
        <f aca="false">B12+INDEX(Setup!$C$13:$C$26,MATCH(C12,Setup!$A$13:$A$26,0))</f>
        <v>46114</v>
      </c>
      <c r="H12" s="29" t="n">
        <f aca="false">SUMIFS(Collections!$E$6:$E$2000,Collections!$C$6:$C$2000,A12)</f>
        <v>75545</v>
      </c>
      <c r="I12" s="44" t="n">
        <f aca="false">E12-H12</f>
        <v>0</v>
      </c>
      <c r="J12" s="31" t="str">
        <f aca="false">IF(I12&gt;Setup!$B$9,Setup!$B$5-G12,"")</f>
        <v/>
      </c>
      <c r="K12" s="8" t="str">
        <f aca="false">IF(I12&lt;=Setup!$B$9,"Settled",IF(J12&lt;=0,"Not yet due",IF(J12&lt;=30,"1-30 days",IF(J12&lt;=60,"31-60 days",IF(J12&lt;=90,"61-90 days","Over 90 days")))))</f>
        <v>Settled</v>
      </c>
    </row>
    <row r="13" customFormat="false" ht="15" hidden="false" customHeight="false" outlineLevel="0" collapsed="false">
      <c r="A13" s="5" t="s">
        <v>129</v>
      </c>
      <c r="B13" s="41" t="n">
        <v>46084</v>
      </c>
      <c r="C13" s="5" t="s">
        <v>87</v>
      </c>
      <c r="D13" s="5" t="s">
        <v>122</v>
      </c>
      <c r="E13" s="43" t="n">
        <v>273061</v>
      </c>
      <c r="F13" s="27" t="str">
        <f aca="false">INDEX(Setup!$B$13:$B$26,MATCH(C13,Setup!$A$13:$A$26,0))</f>
        <v>East</v>
      </c>
      <c r="G13" s="28" t="n">
        <f aca="false">B13+INDEX(Setup!$C$13:$C$26,MATCH(C13,Setup!$A$13:$A$26,0))</f>
        <v>46114</v>
      </c>
      <c r="H13" s="29" t="n">
        <f aca="false">SUMIFS(Collections!$E$6:$E$2000,Collections!$C$6:$C$2000,A13)</f>
        <v>273061</v>
      </c>
      <c r="I13" s="44" t="n">
        <f aca="false">E13-H13</f>
        <v>0</v>
      </c>
      <c r="J13" s="31" t="str">
        <f aca="false">IF(I13&gt;Setup!$B$9,Setup!$B$5-G13,"")</f>
        <v/>
      </c>
      <c r="K13" s="8" t="str">
        <f aca="false">IF(I13&lt;=Setup!$B$9,"Settled",IF(J13&lt;=0,"Not yet due",IF(J13&lt;=30,"1-30 days",IF(J13&lt;=60,"31-60 days",IF(J13&lt;=90,"61-90 days","Over 90 days")))))</f>
        <v>Settled</v>
      </c>
    </row>
    <row r="14" customFormat="false" ht="15" hidden="false" customHeight="false" outlineLevel="0" collapsed="false">
      <c r="A14" s="5" t="s">
        <v>130</v>
      </c>
      <c r="B14" s="41" t="n">
        <v>46085</v>
      </c>
      <c r="C14" s="5" t="s">
        <v>94</v>
      </c>
      <c r="D14" s="5" t="s">
        <v>122</v>
      </c>
      <c r="E14" s="43" t="n">
        <v>534180</v>
      </c>
      <c r="F14" s="27" t="str">
        <f aca="false">INDEX(Setup!$B$13:$B$26,MATCH(C14,Setup!$A$13:$A$26,0))</f>
        <v>West</v>
      </c>
      <c r="G14" s="28" t="n">
        <f aca="false">B14+INDEX(Setup!$C$13:$C$26,MATCH(C14,Setup!$A$13:$A$26,0))</f>
        <v>46115</v>
      </c>
      <c r="H14" s="29" t="n">
        <f aca="false">SUMIFS(Collections!$E$6:$E$2000,Collections!$C$6:$C$2000,A14)</f>
        <v>534180</v>
      </c>
      <c r="I14" s="44" t="n">
        <f aca="false">E14-H14</f>
        <v>0</v>
      </c>
      <c r="J14" s="31" t="str">
        <f aca="false">IF(I14&gt;Setup!$B$9,Setup!$B$5-G14,"")</f>
        <v/>
      </c>
      <c r="K14" s="8" t="str">
        <f aca="false">IF(I14&lt;=Setup!$B$9,"Settled",IF(J14&lt;=0,"Not yet due",IF(J14&lt;=30,"1-30 days",IF(J14&lt;=60,"31-60 days",IF(J14&lt;=90,"61-90 days","Over 90 days")))))</f>
        <v>Settled</v>
      </c>
    </row>
    <row r="15" customFormat="false" ht="15" hidden="false" customHeight="false" outlineLevel="0" collapsed="false">
      <c r="A15" s="5" t="s">
        <v>131</v>
      </c>
      <c r="B15" s="41" t="n">
        <v>46085</v>
      </c>
      <c r="C15" s="5" t="s">
        <v>108</v>
      </c>
      <c r="D15" s="5" t="s">
        <v>122</v>
      </c>
      <c r="E15" s="43" t="n">
        <v>457762</v>
      </c>
      <c r="F15" s="27" t="str">
        <f aca="false">INDEX(Setup!$B$13:$B$26,MATCH(C15,Setup!$A$13:$A$26,0))</f>
        <v>South</v>
      </c>
      <c r="G15" s="28" t="n">
        <f aca="false">B15+INDEX(Setup!$C$13:$C$26,MATCH(C15,Setup!$A$13:$A$26,0))</f>
        <v>46115</v>
      </c>
      <c r="H15" s="29" t="n">
        <f aca="false">SUMIFS(Collections!$E$6:$E$2000,Collections!$C$6:$C$2000,A15)</f>
        <v>448606</v>
      </c>
      <c r="I15" s="44" t="n">
        <f aca="false">E15-H15</f>
        <v>9156</v>
      </c>
      <c r="J15" s="31" t="n">
        <f aca="false">IF(I15&gt;Setup!$B$9,Setup!$B$5-G15,"")</f>
        <v>180</v>
      </c>
      <c r="K15" s="8" t="str">
        <f aca="false">IF(I15&lt;=Setup!$B$9,"Settled",IF(J15&lt;=0,"Not yet due",IF(J15&lt;=30,"1-30 days",IF(J15&lt;=60,"31-60 days",IF(J15&lt;=90,"61-90 days","Over 90 days")))))</f>
        <v>Over 90 days</v>
      </c>
    </row>
    <row r="16" customFormat="false" ht="15" hidden="false" customHeight="false" outlineLevel="0" collapsed="false">
      <c r="A16" s="5" t="s">
        <v>132</v>
      </c>
      <c r="B16" s="41" t="n">
        <v>46086</v>
      </c>
      <c r="C16" s="5" t="s">
        <v>102</v>
      </c>
      <c r="D16" s="5" t="s">
        <v>133</v>
      </c>
      <c r="E16" s="43" t="n">
        <v>204951</v>
      </c>
      <c r="F16" s="27" t="str">
        <f aca="false">INDEX(Setup!$B$13:$B$26,MATCH(C16,Setup!$A$13:$A$26,0))</f>
        <v>North</v>
      </c>
      <c r="G16" s="28" t="n">
        <f aca="false">B16+INDEX(Setup!$C$13:$C$26,MATCH(C16,Setup!$A$13:$A$26,0))</f>
        <v>46116</v>
      </c>
      <c r="H16" s="29" t="n">
        <f aca="false">SUMIFS(Collections!$E$6:$E$2000,Collections!$C$6:$C$2000,A16)</f>
        <v>204951</v>
      </c>
      <c r="I16" s="44" t="n">
        <f aca="false">E16-H16</f>
        <v>0</v>
      </c>
      <c r="J16" s="31" t="str">
        <f aca="false">IF(I16&gt;Setup!$B$9,Setup!$B$5-G16,"")</f>
        <v/>
      </c>
      <c r="K16" s="8" t="str">
        <f aca="false">IF(I16&lt;=Setup!$B$9,"Settled",IF(J16&lt;=0,"Not yet due",IF(J16&lt;=30,"1-30 days",IF(J16&lt;=60,"31-60 days",IF(J16&lt;=90,"61-90 days","Over 90 days")))))</f>
        <v>Settled</v>
      </c>
    </row>
    <row r="17" customFormat="false" ht="15" hidden="false" customHeight="false" outlineLevel="0" collapsed="false">
      <c r="A17" s="5" t="s">
        <v>134</v>
      </c>
      <c r="B17" s="41" t="n">
        <v>46086</v>
      </c>
      <c r="C17" s="5" t="s">
        <v>87</v>
      </c>
      <c r="D17" s="5" t="s">
        <v>122</v>
      </c>
      <c r="E17" s="43" t="n">
        <v>345881</v>
      </c>
      <c r="F17" s="27" t="str">
        <f aca="false">INDEX(Setup!$B$13:$B$26,MATCH(C17,Setup!$A$13:$A$26,0))</f>
        <v>East</v>
      </c>
      <c r="G17" s="28" t="n">
        <f aca="false">B17+INDEX(Setup!$C$13:$C$26,MATCH(C17,Setup!$A$13:$A$26,0))</f>
        <v>46116</v>
      </c>
      <c r="H17" s="29" t="n">
        <f aca="false">SUMIFS(Collections!$E$6:$E$2000,Collections!$C$6:$C$2000,A17)</f>
        <v>345881</v>
      </c>
      <c r="I17" s="44" t="n">
        <f aca="false">E17-H17</f>
        <v>0</v>
      </c>
      <c r="J17" s="31" t="str">
        <f aca="false">IF(I17&gt;Setup!$B$9,Setup!$B$5-G17,"")</f>
        <v/>
      </c>
      <c r="K17" s="8" t="str">
        <f aca="false">IF(I17&lt;=Setup!$B$9,"Settled",IF(J17&lt;=0,"Not yet due",IF(J17&lt;=30,"1-30 days",IF(J17&lt;=60,"31-60 days",IF(J17&lt;=90,"61-90 days","Over 90 days")))))</f>
        <v>Settled</v>
      </c>
    </row>
    <row r="18" customFormat="false" ht="15" hidden="false" customHeight="false" outlineLevel="0" collapsed="false">
      <c r="A18" s="5" t="s">
        <v>135</v>
      </c>
      <c r="B18" s="41" t="n">
        <v>46086</v>
      </c>
      <c r="C18" s="5" t="s">
        <v>90</v>
      </c>
      <c r="D18" s="5" t="s">
        <v>122</v>
      </c>
      <c r="E18" s="43" t="n">
        <v>302522</v>
      </c>
      <c r="F18" s="27" t="str">
        <f aca="false">INDEX(Setup!$B$13:$B$26,MATCH(C18,Setup!$A$13:$A$26,0))</f>
        <v>East</v>
      </c>
      <c r="G18" s="28" t="n">
        <f aca="false">B18+INDEX(Setup!$C$13:$C$26,MATCH(C18,Setup!$A$13:$A$26,0))</f>
        <v>46116</v>
      </c>
      <c r="H18" s="29" t="n">
        <f aca="false">SUMIFS(Collections!$E$6:$E$2000,Collections!$C$6:$C$2000,A18)</f>
        <v>302522</v>
      </c>
      <c r="I18" s="44" t="n">
        <f aca="false">E18-H18</f>
        <v>0</v>
      </c>
      <c r="J18" s="31" t="str">
        <f aca="false">IF(I18&gt;Setup!$B$9,Setup!$B$5-G18,"")</f>
        <v/>
      </c>
      <c r="K18" s="8" t="str">
        <f aca="false">IF(I18&lt;=Setup!$B$9,"Settled",IF(J18&lt;=0,"Not yet due",IF(J18&lt;=30,"1-30 days",IF(J18&lt;=60,"31-60 days",IF(J18&lt;=90,"61-90 days","Over 90 days")))))</f>
        <v>Settled</v>
      </c>
    </row>
    <row r="19" customFormat="false" ht="15" hidden="false" customHeight="false" outlineLevel="0" collapsed="false">
      <c r="A19" s="5" t="s">
        <v>136</v>
      </c>
      <c r="B19" s="41" t="n">
        <v>46088</v>
      </c>
      <c r="C19" s="5" t="s">
        <v>108</v>
      </c>
      <c r="D19" s="5" t="s">
        <v>122</v>
      </c>
      <c r="E19" s="43" t="n">
        <v>166080</v>
      </c>
      <c r="F19" s="27" t="str">
        <f aca="false">INDEX(Setup!$B$13:$B$26,MATCH(C19,Setup!$A$13:$A$26,0))</f>
        <v>South</v>
      </c>
      <c r="G19" s="28" t="n">
        <f aca="false">B19+INDEX(Setup!$C$13:$C$26,MATCH(C19,Setup!$A$13:$A$26,0))</f>
        <v>46118</v>
      </c>
      <c r="H19" s="29" t="n">
        <f aca="false">SUMIFS(Collections!$E$6:$E$2000,Collections!$C$6:$C$2000,A19)</f>
        <v>166080</v>
      </c>
      <c r="I19" s="44" t="n">
        <f aca="false">E19-H19</f>
        <v>0</v>
      </c>
      <c r="J19" s="31" t="str">
        <f aca="false">IF(I19&gt;Setup!$B$9,Setup!$B$5-G19,"")</f>
        <v/>
      </c>
      <c r="K19" s="8" t="str">
        <f aca="false">IF(I19&lt;=Setup!$B$9,"Settled",IF(J19&lt;=0,"Not yet due",IF(J19&lt;=30,"1-30 days",IF(J19&lt;=60,"31-60 days",IF(J19&lt;=90,"61-90 days","Over 90 days")))))</f>
        <v>Settled</v>
      </c>
    </row>
    <row r="20" customFormat="false" ht="15" hidden="false" customHeight="false" outlineLevel="0" collapsed="false">
      <c r="A20" s="5" t="s">
        <v>137</v>
      </c>
      <c r="B20" s="41" t="n">
        <v>46088</v>
      </c>
      <c r="C20" s="5" t="s">
        <v>92</v>
      </c>
      <c r="D20" s="5" t="s">
        <v>120</v>
      </c>
      <c r="E20" s="43" t="n">
        <v>310750</v>
      </c>
      <c r="F20" s="27" t="str">
        <f aca="false">INDEX(Setup!$B$13:$B$26,MATCH(C20,Setup!$A$13:$A$26,0))</f>
        <v>East</v>
      </c>
      <c r="G20" s="28" t="n">
        <f aca="false">B20+INDEX(Setup!$C$13:$C$26,MATCH(C20,Setup!$A$13:$A$26,0))</f>
        <v>46133</v>
      </c>
      <c r="H20" s="29" t="n">
        <f aca="false">SUMIFS(Collections!$E$6:$E$2000,Collections!$C$6:$C$2000,A20)</f>
        <v>310750</v>
      </c>
      <c r="I20" s="44" t="n">
        <f aca="false">E20-H20</f>
        <v>0</v>
      </c>
      <c r="J20" s="31" t="str">
        <f aca="false">IF(I20&gt;Setup!$B$9,Setup!$B$5-G20,"")</f>
        <v/>
      </c>
      <c r="K20" s="8" t="str">
        <f aca="false">IF(I20&lt;=Setup!$B$9,"Settled",IF(J20&lt;=0,"Not yet due",IF(J20&lt;=30,"1-30 days",IF(J20&lt;=60,"31-60 days",IF(J20&lt;=90,"61-90 days","Over 90 days")))))</f>
        <v>Settled</v>
      </c>
    </row>
    <row r="21" customFormat="false" ht="15" hidden="false" customHeight="false" outlineLevel="0" collapsed="false">
      <c r="A21" s="5" t="s">
        <v>138</v>
      </c>
      <c r="B21" s="41" t="n">
        <v>46088</v>
      </c>
      <c r="C21" s="5" t="s">
        <v>90</v>
      </c>
      <c r="D21" s="5" t="s">
        <v>120</v>
      </c>
      <c r="E21" s="43" t="n">
        <v>71313</v>
      </c>
      <c r="F21" s="27" t="str">
        <f aca="false">INDEX(Setup!$B$13:$B$26,MATCH(C21,Setup!$A$13:$A$26,0))</f>
        <v>East</v>
      </c>
      <c r="G21" s="28" t="n">
        <f aca="false">B21+INDEX(Setup!$C$13:$C$26,MATCH(C21,Setup!$A$13:$A$26,0))</f>
        <v>46118</v>
      </c>
      <c r="H21" s="29" t="n">
        <f aca="false">SUMIFS(Collections!$E$6:$E$2000,Collections!$C$6:$C$2000,A21)</f>
        <v>71313</v>
      </c>
      <c r="I21" s="44" t="n">
        <f aca="false">E21-H21</f>
        <v>0</v>
      </c>
      <c r="J21" s="31" t="str">
        <f aca="false">IF(I21&gt;Setup!$B$9,Setup!$B$5-G21,"")</f>
        <v/>
      </c>
      <c r="K21" s="8" t="str">
        <f aca="false">IF(I21&lt;=Setup!$B$9,"Settled",IF(J21&lt;=0,"Not yet due",IF(J21&lt;=30,"1-30 days",IF(J21&lt;=60,"31-60 days",IF(J21&lt;=90,"61-90 days","Over 90 days")))))</f>
        <v>Settled</v>
      </c>
    </row>
    <row r="22" customFormat="false" ht="15" hidden="false" customHeight="false" outlineLevel="0" collapsed="false">
      <c r="A22" s="5" t="s">
        <v>139</v>
      </c>
      <c r="B22" s="41" t="n">
        <v>46089</v>
      </c>
      <c r="C22" s="5" t="s">
        <v>103</v>
      </c>
      <c r="D22" s="5" t="s">
        <v>122</v>
      </c>
      <c r="E22" s="43" t="n">
        <v>160355</v>
      </c>
      <c r="F22" s="27" t="str">
        <f aca="false">INDEX(Setup!$B$13:$B$26,MATCH(C22,Setup!$A$13:$A$26,0))</f>
        <v>North</v>
      </c>
      <c r="G22" s="28" t="n">
        <f aca="false">B22+INDEX(Setup!$C$13:$C$26,MATCH(C22,Setup!$A$13:$A$26,0))</f>
        <v>46119</v>
      </c>
      <c r="H22" s="29" t="n">
        <f aca="false">SUMIFS(Collections!$E$6:$E$2000,Collections!$C$6:$C$2000,A22)</f>
        <v>160355</v>
      </c>
      <c r="I22" s="44" t="n">
        <f aca="false">E22-H22</f>
        <v>0</v>
      </c>
      <c r="J22" s="31" t="str">
        <f aca="false">IF(I22&gt;Setup!$B$9,Setup!$B$5-G22,"")</f>
        <v/>
      </c>
      <c r="K22" s="8" t="str">
        <f aca="false">IF(I22&lt;=Setup!$B$9,"Settled",IF(J22&lt;=0,"Not yet due",IF(J22&lt;=30,"1-30 days",IF(J22&lt;=60,"31-60 days",IF(J22&lt;=90,"61-90 days","Over 90 days")))))</f>
        <v>Settled</v>
      </c>
    </row>
    <row r="23" customFormat="false" ht="15" hidden="false" customHeight="false" outlineLevel="0" collapsed="false">
      <c r="A23" s="5" t="s">
        <v>140</v>
      </c>
      <c r="B23" s="41" t="n">
        <v>46089</v>
      </c>
      <c r="C23" s="5" t="s">
        <v>104</v>
      </c>
      <c r="D23" s="5" t="s">
        <v>128</v>
      </c>
      <c r="E23" s="43" t="n">
        <v>251148</v>
      </c>
      <c r="F23" s="27" t="str">
        <f aca="false">INDEX(Setup!$B$13:$B$26,MATCH(C23,Setup!$A$13:$A$26,0))</f>
        <v>North</v>
      </c>
      <c r="G23" s="28" t="n">
        <f aca="false">B23+INDEX(Setup!$C$13:$C$26,MATCH(C23,Setup!$A$13:$A$26,0))</f>
        <v>46134</v>
      </c>
      <c r="H23" s="29" t="n">
        <f aca="false">SUMIFS(Collections!$E$6:$E$2000,Collections!$C$6:$C$2000,A23)</f>
        <v>0</v>
      </c>
      <c r="I23" s="44" t="n">
        <f aca="false">E23-H23</f>
        <v>251148</v>
      </c>
      <c r="J23" s="31" t="n">
        <f aca="false">IF(I23&gt;Setup!$B$9,Setup!$B$5-G23,"")</f>
        <v>161</v>
      </c>
      <c r="K23" s="8" t="str">
        <f aca="false">IF(I23&lt;=Setup!$B$9,"Settled",IF(J23&lt;=0,"Not yet due",IF(J23&lt;=30,"1-30 days",IF(J23&lt;=60,"31-60 days",IF(J23&lt;=90,"61-90 days","Over 90 days")))))</f>
        <v>Over 90 days</v>
      </c>
    </row>
    <row r="24" customFormat="false" ht="15" hidden="false" customHeight="false" outlineLevel="0" collapsed="false">
      <c r="A24" s="5" t="s">
        <v>141</v>
      </c>
      <c r="B24" s="41" t="n">
        <v>46091</v>
      </c>
      <c r="C24" s="5" t="s">
        <v>102</v>
      </c>
      <c r="D24" s="5" t="s">
        <v>120</v>
      </c>
      <c r="E24" s="43" t="n">
        <v>283842</v>
      </c>
      <c r="F24" s="27" t="str">
        <f aca="false">INDEX(Setup!$B$13:$B$26,MATCH(C24,Setup!$A$13:$A$26,0))</f>
        <v>North</v>
      </c>
      <c r="G24" s="28" t="n">
        <f aca="false">B24+INDEX(Setup!$C$13:$C$26,MATCH(C24,Setup!$A$13:$A$26,0))</f>
        <v>46121</v>
      </c>
      <c r="H24" s="29" t="n">
        <f aca="false">SUMIFS(Collections!$E$6:$E$2000,Collections!$C$6:$C$2000,A24)</f>
        <v>283842</v>
      </c>
      <c r="I24" s="44" t="n">
        <f aca="false">E24-H24</f>
        <v>0</v>
      </c>
      <c r="J24" s="31" t="str">
        <f aca="false">IF(I24&gt;Setup!$B$9,Setup!$B$5-G24,"")</f>
        <v/>
      </c>
      <c r="K24" s="8" t="str">
        <f aca="false">IF(I24&lt;=Setup!$B$9,"Settled",IF(J24&lt;=0,"Not yet due",IF(J24&lt;=30,"1-30 days",IF(J24&lt;=60,"31-60 days",IF(J24&lt;=90,"61-90 days","Over 90 days")))))</f>
        <v>Settled</v>
      </c>
    </row>
    <row r="25" customFormat="false" ht="15" hidden="false" customHeight="false" outlineLevel="0" collapsed="false">
      <c r="A25" s="5" t="s">
        <v>142</v>
      </c>
      <c r="B25" s="41" t="n">
        <v>46092</v>
      </c>
      <c r="C25" s="5" t="s">
        <v>109</v>
      </c>
      <c r="D25" s="5" t="s">
        <v>133</v>
      </c>
      <c r="E25" s="43" t="n">
        <v>159903</v>
      </c>
      <c r="F25" s="27" t="str">
        <f aca="false">INDEX(Setup!$B$13:$B$26,MATCH(C25,Setup!$A$13:$A$26,0))</f>
        <v>South</v>
      </c>
      <c r="G25" s="28" t="n">
        <f aca="false">B25+INDEX(Setup!$C$13:$C$26,MATCH(C25,Setup!$A$13:$A$26,0))</f>
        <v>46137</v>
      </c>
      <c r="H25" s="29" t="n">
        <f aca="false">SUMIFS(Collections!$E$6:$E$2000,Collections!$C$6:$C$2000,A25)</f>
        <v>159903</v>
      </c>
      <c r="I25" s="44" t="n">
        <f aca="false">E25-H25</f>
        <v>0</v>
      </c>
      <c r="J25" s="31" t="str">
        <f aca="false">IF(I25&gt;Setup!$B$9,Setup!$B$5-G25,"")</f>
        <v/>
      </c>
      <c r="K25" s="8" t="str">
        <f aca="false">IF(I25&lt;=Setup!$B$9,"Settled",IF(J25&lt;=0,"Not yet due",IF(J25&lt;=30,"1-30 days",IF(J25&lt;=60,"31-60 days",IF(J25&lt;=90,"61-90 days","Over 90 days")))))</f>
        <v>Settled</v>
      </c>
    </row>
    <row r="26" customFormat="false" ht="15" hidden="false" customHeight="false" outlineLevel="0" collapsed="false">
      <c r="A26" s="5" t="s">
        <v>143</v>
      </c>
      <c r="B26" s="41" t="n">
        <v>46094</v>
      </c>
      <c r="C26" s="5" t="s">
        <v>109</v>
      </c>
      <c r="D26" s="5" t="s">
        <v>128</v>
      </c>
      <c r="E26" s="43" t="n">
        <v>290814</v>
      </c>
      <c r="F26" s="27" t="str">
        <f aca="false">INDEX(Setup!$B$13:$B$26,MATCH(C26,Setup!$A$13:$A$26,0))</f>
        <v>South</v>
      </c>
      <c r="G26" s="28" t="n">
        <f aca="false">B26+INDEX(Setup!$C$13:$C$26,MATCH(C26,Setup!$A$13:$A$26,0))</f>
        <v>46139</v>
      </c>
      <c r="H26" s="29" t="n">
        <f aca="false">SUMIFS(Collections!$E$6:$E$2000,Collections!$C$6:$C$2000,A26)</f>
        <v>290814</v>
      </c>
      <c r="I26" s="44" t="n">
        <f aca="false">E26-H26</f>
        <v>0</v>
      </c>
      <c r="J26" s="31" t="str">
        <f aca="false">IF(I26&gt;Setup!$B$9,Setup!$B$5-G26,"")</f>
        <v/>
      </c>
      <c r="K26" s="8" t="str">
        <f aca="false">IF(I26&lt;=Setup!$B$9,"Settled",IF(J26&lt;=0,"Not yet due",IF(J26&lt;=30,"1-30 days",IF(J26&lt;=60,"31-60 days",IF(J26&lt;=90,"61-90 days","Over 90 days")))))</f>
        <v>Settled</v>
      </c>
    </row>
    <row r="27" customFormat="false" ht="15" hidden="false" customHeight="false" outlineLevel="0" collapsed="false">
      <c r="A27" s="5" t="s">
        <v>144</v>
      </c>
      <c r="B27" s="41" t="n">
        <v>46094</v>
      </c>
      <c r="C27" s="5" t="s">
        <v>102</v>
      </c>
      <c r="D27" s="5" t="s">
        <v>120</v>
      </c>
      <c r="E27" s="43" t="n">
        <v>100844</v>
      </c>
      <c r="F27" s="27" t="str">
        <f aca="false">INDEX(Setup!$B$13:$B$26,MATCH(C27,Setup!$A$13:$A$26,0))</f>
        <v>North</v>
      </c>
      <c r="G27" s="28" t="n">
        <f aca="false">B27+INDEX(Setup!$C$13:$C$26,MATCH(C27,Setup!$A$13:$A$26,0))</f>
        <v>46124</v>
      </c>
      <c r="H27" s="29" t="n">
        <f aca="false">SUMIFS(Collections!$E$6:$E$2000,Collections!$C$6:$C$2000,A27)</f>
        <v>100844</v>
      </c>
      <c r="I27" s="44" t="n">
        <f aca="false">E27-H27</f>
        <v>0</v>
      </c>
      <c r="J27" s="31" t="str">
        <f aca="false">IF(I27&gt;Setup!$B$9,Setup!$B$5-G27,"")</f>
        <v/>
      </c>
      <c r="K27" s="8" t="str">
        <f aca="false">IF(I27&lt;=Setup!$B$9,"Settled",IF(J27&lt;=0,"Not yet due",IF(J27&lt;=30,"1-30 days",IF(J27&lt;=60,"31-60 days",IF(J27&lt;=90,"61-90 days","Over 90 days")))))</f>
        <v>Settled</v>
      </c>
    </row>
    <row r="28" customFormat="false" ht="15" hidden="false" customHeight="false" outlineLevel="0" collapsed="false">
      <c r="A28" s="5" t="s">
        <v>145</v>
      </c>
      <c r="B28" s="41" t="n">
        <v>46098</v>
      </c>
      <c r="C28" s="5" t="s">
        <v>90</v>
      </c>
      <c r="D28" s="5" t="s">
        <v>122</v>
      </c>
      <c r="E28" s="43" t="n">
        <v>149207</v>
      </c>
      <c r="F28" s="27" t="str">
        <f aca="false">INDEX(Setup!$B$13:$B$26,MATCH(C28,Setup!$A$13:$A$26,0))</f>
        <v>East</v>
      </c>
      <c r="G28" s="28" t="n">
        <f aca="false">B28+INDEX(Setup!$C$13:$C$26,MATCH(C28,Setup!$A$13:$A$26,0))</f>
        <v>46128</v>
      </c>
      <c r="H28" s="29" t="n">
        <f aca="false">SUMIFS(Collections!$E$6:$E$2000,Collections!$C$6:$C$2000,A28)</f>
        <v>149207</v>
      </c>
      <c r="I28" s="44" t="n">
        <f aca="false">E28-H28</f>
        <v>0</v>
      </c>
      <c r="J28" s="31" t="str">
        <f aca="false">IF(I28&gt;Setup!$B$9,Setup!$B$5-G28,"")</f>
        <v/>
      </c>
      <c r="K28" s="8" t="str">
        <f aca="false">IF(I28&lt;=Setup!$B$9,"Settled",IF(J28&lt;=0,"Not yet due",IF(J28&lt;=30,"1-30 days",IF(J28&lt;=60,"31-60 days",IF(J28&lt;=90,"61-90 days","Over 90 days")))))</f>
        <v>Settled</v>
      </c>
    </row>
    <row r="29" customFormat="false" ht="15" hidden="false" customHeight="false" outlineLevel="0" collapsed="false">
      <c r="A29" s="5" t="s">
        <v>146</v>
      </c>
      <c r="B29" s="41" t="n">
        <v>46098</v>
      </c>
      <c r="C29" s="5" t="s">
        <v>90</v>
      </c>
      <c r="D29" s="5" t="s">
        <v>122</v>
      </c>
      <c r="E29" s="43" t="n">
        <v>90454</v>
      </c>
      <c r="F29" s="27" t="str">
        <f aca="false">INDEX(Setup!$B$13:$B$26,MATCH(C29,Setup!$A$13:$A$26,0))</f>
        <v>East</v>
      </c>
      <c r="G29" s="28" t="n">
        <f aca="false">B29+INDEX(Setup!$C$13:$C$26,MATCH(C29,Setup!$A$13:$A$26,0))</f>
        <v>46128</v>
      </c>
      <c r="H29" s="29" t="n">
        <f aca="false">SUMIFS(Collections!$E$6:$E$2000,Collections!$C$6:$C$2000,A29)</f>
        <v>90454</v>
      </c>
      <c r="I29" s="44" t="n">
        <f aca="false">E29-H29</f>
        <v>0</v>
      </c>
      <c r="J29" s="31" t="str">
        <f aca="false">IF(I29&gt;Setup!$B$9,Setup!$B$5-G29,"")</f>
        <v/>
      </c>
      <c r="K29" s="8" t="str">
        <f aca="false">IF(I29&lt;=Setup!$B$9,"Settled",IF(J29&lt;=0,"Not yet due",IF(J29&lt;=30,"1-30 days",IF(J29&lt;=60,"31-60 days",IF(J29&lt;=90,"61-90 days","Over 90 days")))))</f>
        <v>Settled</v>
      </c>
    </row>
    <row r="30" customFormat="false" ht="15" hidden="false" customHeight="false" outlineLevel="0" collapsed="false">
      <c r="A30" s="5" t="s">
        <v>147</v>
      </c>
      <c r="B30" s="41" t="n">
        <v>46098</v>
      </c>
      <c r="C30" s="5" t="s">
        <v>109</v>
      </c>
      <c r="D30" s="5" t="s">
        <v>133</v>
      </c>
      <c r="E30" s="43" t="n">
        <v>115204</v>
      </c>
      <c r="F30" s="27" t="str">
        <f aca="false">INDEX(Setup!$B$13:$B$26,MATCH(C30,Setup!$A$13:$A$26,0))</f>
        <v>South</v>
      </c>
      <c r="G30" s="28" t="n">
        <f aca="false">B30+INDEX(Setup!$C$13:$C$26,MATCH(C30,Setup!$A$13:$A$26,0))</f>
        <v>46143</v>
      </c>
      <c r="H30" s="29" t="n">
        <f aca="false">SUMIFS(Collections!$E$6:$E$2000,Collections!$C$6:$C$2000,A30)</f>
        <v>115204</v>
      </c>
      <c r="I30" s="44" t="n">
        <f aca="false">E30-H30</f>
        <v>0</v>
      </c>
      <c r="J30" s="31" t="str">
        <f aca="false">IF(I30&gt;Setup!$B$9,Setup!$B$5-G30,"")</f>
        <v/>
      </c>
      <c r="K30" s="8" t="str">
        <f aca="false">IF(I30&lt;=Setup!$B$9,"Settled",IF(J30&lt;=0,"Not yet due",IF(J30&lt;=30,"1-30 days",IF(J30&lt;=60,"31-60 days",IF(J30&lt;=90,"61-90 days","Over 90 days")))))</f>
        <v>Settled</v>
      </c>
    </row>
    <row r="31" customFormat="false" ht="15" hidden="false" customHeight="false" outlineLevel="0" collapsed="false">
      <c r="A31" s="5" t="s">
        <v>148</v>
      </c>
      <c r="B31" s="41" t="n">
        <v>46099</v>
      </c>
      <c r="C31" s="5" t="s">
        <v>102</v>
      </c>
      <c r="D31" s="5" t="s">
        <v>122</v>
      </c>
      <c r="E31" s="43" t="n">
        <v>274315</v>
      </c>
      <c r="F31" s="27" t="str">
        <f aca="false">INDEX(Setup!$B$13:$B$26,MATCH(C31,Setup!$A$13:$A$26,0))</f>
        <v>North</v>
      </c>
      <c r="G31" s="28" t="n">
        <f aca="false">B31+INDEX(Setup!$C$13:$C$26,MATCH(C31,Setup!$A$13:$A$26,0))</f>
        <v>46129</v>
      </c>
      <c r="H31" s="29" t="n">
        <f aca="false">SUMIFS(Collections!$E$6:$E$2000,Collections!$C$6:$C$2000,A31)</f>
        <v>274315</v>
      </c>
      <c r="I31" s="44" t="n">
        <f aca="false">E31-H31</f>
        <v>0</v>
      </c>
      <c r="J31" s="31" t="str">
        <f aca="false">IF(I31&gt;Setup!$B$9,Setup!$B$5-G31,"")</f>
        <v/>
      </c>
      <c r="K31" s="8" t="str">
        <f aca="false">IF(I31&lt;=Setup!$B$9,"Settled",IF(J31&lt;=0,"Not yet due",IF(J31&lt;=30,"1-30 days",IF(J31&lt;=60,"31-60 days",IF(J31&lt;=90,"61-90 days","Over 90 days")))))</f>
        <v>Settled</v>
      </c>
    </row>
    <row r="32" customFormat="false" ht="15" hidden="false" customHeight="false" outlineLevel="0" collapsed="false">
      <c r="A32" s="5" t="s">
        <v>149</v>
      </c>
      <c r="B32" s="41" t="n">
        <v>46100</v>
      </c>
      <c r="C32" s="5" t="s">
        <v>109</v>
      </c>
      <c r="D32" s="5" t="s">
        <v>122</v>
      </c>
      <c r="E32" s="43" t="n">
        <v>264218</v>
      </c>
      <c r="F32" s="27" t="str">
        <f aca="false">INDEX(Setup!$B$13:$B$26,MATCH(C32,Setup!$A$13:$A$26,0))</f>
        <v>South</v>
      </c>
      <c r="G32" s="28" t="n">
        <f aca="false">B32+INDEX(Setup!$C$13:$C$26,MATCH(C32,Setup!$A$13:$A$26,0))</f>
        <v>46145</v>
      </c>
      <c r="H32" s="29" t="n">
        <f aca="false">SUMIFS(Collections!$E$6:$E$2000,Collections!$C$6:$C$2000,A32)</f>
        <v>264218</v>
      </c>
      <c r="I32" s="44" t="n">
        <f aca="false">E32-H32</f>
        <v>0</v>
      </c>
      <c r="J32" s="31" t="str">
        <f aca="false">IF(I32&gt;Setup!$B$9,Setup!$B$5-G32,"")</f>
        <v/>
      </c>
      <c r="K32" s="8" t="str">
        <f aca="false">IF(I32&lt;=Setup!$B$9,"Settled",IF(J32&lt;=0,"Not yet due",IF(J32&lt;=30,"1-30 days",IF(J32&lt;=60,"31-60 days",IF(J32&lt;=90,"61-90 days","Over 90 days")))))</f>
        <v>Settled</v>
      </c>
    </row>
    <row r="33" customFormat="false" ht="15" hidden="false" customHeight="false" outlineLevel="0" collapsed="false">
      <c r="A33" s="5" t="s">
        <v>150</v>
      </c>
      <c r="B33" s="41" t="n">
        <v>46101</v>
      </c>
      <c r="C33" s="5" t="s">
        <v>102</v>
      </c>
      <c r="D33" s="5" t="s">
        <v>122</v>
      </c>
      <c r="E33" s="43" t="n">
        <v>403095</v>
      </c>
      <c r="F33" s="27" t="str">
        <f aca="false">INDEX(Setup!$B$13:$B$26,MATCH(C33,Setup!$A$13:$A$26,0))</f>
        <v>North</v>
      </c>
      <c r="G33" s="28" t="n">
        <f aca="false">B33+INDEX(Setup!$C$13:$C$26,MATCH(C33,Setup!$A$13:$A$26,0))</f>
        <v>46131</v>
      </c>
      <c r="H33" s="29" t="n">
        <f aca="false">SUMIFS(Collections!$E$6:$E$2000,Collections!$C$6:$C$2000,A33)</f>
        <v>403095</v>
      </c>
      <c r="I33" s="44" t="n">
        <f aca="false">E33-H33</f>
        <v>0</v>
      </c>
      <c r="J33" s="31" t="str">
        <f aca="false">IF(I33&gt;Setup!$B$9,Setup!$B$5-G33,"")</f>
        <v/>
      </c>
      <c r="K33" s="8" t="str">
        <f aca="false">IF(I33&lt;=Setup!$B$9,"Settled",IF(J33&lt;=0,"Not yet due",IF(J33&lt;=30,"1-30 days",IF(J33&lt;=60,"31-60 days",IF(J33&lt;=90,"61-90 days","Over 90 days")))))</f>
        <v>Settled</v>
      </c>
    </row>
    <row r="34" customFormat="false" ht="15" hidden="false" customHeight="false" outlineLevel="0" collapsed="false">
      <c r="A34" s="5" t="s">
        <v>151</v>
      </c>
      <c r="B34" s="41" t="n">
        <v>46101</v>
      </c>
      <c r="C34" s="5" t="s">
        <v>104</v>
      </c>
      <c r="D34" s="5" t="s">
        <v>133</v>
      </c>
      <c r="E34" s="43" t="n">
        <v>316338</v>
      </c>
      <c r="F34" s="27" t="str">
        <f aca="false">INDEX(Setup!$B$13:$B$26,MATCH(C34,Setup!$A$13:$A$26,0))</f>
        <v>North</v>
      </c>
      <c r="G34" s="28" t="n">
        <f aca="false">B34+INDEX(Setup!$C$13:$C$26,MATCH(C34,Setup!$A$13:$A$26,0))</f>
        <v>46146</v>
      </c>
      <c r="H34" s="29" t="n">
        <f aca="false">SUMIFS(Collections!$E$6:$E$2000,Collections!$C$6:$C$2000,A34)</f>
        <v>0</v>
      </c>
      <c r="I34" s="44" t="n">
        <f aca="false">E34-H34</f>
        <v>316338</v>
      </c>
      <c r="J34" s="31" t="n">
        <f aca="false">IF(I34&gt;Setup!$B$9,Setup!$B$5-G34,"")</f>
        <v>149</v>
      </c>
      <c r="K34" s="8" t="str">
        <f aca="false">IF(I34&lt;=Setup!$B$9,"Settled",IF(J34&lt;=0,"Not yet due",IF(J34&lt;=30,"1-30 days",IF(J34&lt;=60,"31-60 days",IF(J34&lt;=90,"61-90 days","Over 90 days")))))</f>
        <v>Over 90 days</v>
      </c>
    </row>
    <row r="35" customFormat="false" ht="15" hidden="false" customHeight="false" outlineLevel="0" collapsed="false">
      <c r="A35" s="5" t="s">
        <v>152</v>
      </c>
      <c r="B35" s="41" t="n">
        <v>46101</v>
      </c>
      <c r="C35" s="5" t="s">
        <v>102</v>
      </c>
      <c r="D35" s="5" t="s">
        <v>122</v>
      </c>
      <c r="E35" s="43" t="n">
        <v>242300</v>
      </c>
      <c r="F35" s="27" t="str">
        <f aca="false">INDEX(Setup!$B$13:$B$26,MATCH(C35,Setup!$A$13:$A$26,0))</f>
        <v>North</v>
      </c>
      <c r="G35" s="28" t="n">
        <f aca="false">B35+INDEX(Setup!$C$13:$C$26,MATCH(C35,Setup!$A$13:$A$26,0))</f>
        <v>46131</v>
      </c>
      <c r="H35" s="29" t="n">
        <f aca="false">SUMIFS(Collections!$E$6:$E$2000,Collections!$C$6:$C$2000,A35)</f>
        <v>242300</v>
      </c>
      <c r="I35" s="44" t="n">
        <f aca="false">E35-H35</f>
        <v>0</v>
      </c>
      <c r="J35" s="31" t="str">
        <f aca="false">IF(I35&gt;Setup!$B$9,Setup!$B$5-G35,"")</f>
        <v/>
      </c>
      <c r="K35" s="8" t="str">
        <f aca="false">IF(I35&lt;=Setup!$B$9,"Settled",IF(J35&lt;=0,"Not yet due",IF(J35&lt;=30,"1-30 days",IF(J35&lt;=60,"31-60 days",IF(J35&lt;=90,"61-90 days","Over 90 days")))))</f>
        <v>Settled</v>
      </c>
    </row>
    <row r="36" customFormat="false" ht="15" hidden="false" customHeight="false" outlineLevel="0" collapsed="false">
      <c r="A36" s="5" t="s">
        <v>153</v>
      </c>
      <c r="B36" s="41" t="n">
        <v>46102</v>
      </c>
      <c r="C36" s="5" t="s">
        <v>90</v>
      </c>
      <c r="D36" s="5" t="s">
        <v>120</v>
      </c>
      <c r="E36" s="43" t="n">
        <v>126314</v>
      </c>
      <c r="F36" s="27" t="str">
        <f aca="false">INDEX(Setup!$B$13:$B$26,MATCH(C36,Setup!$A$13:$A$26,0))</f>
        <v>East</v>
      </c>
      <c r="G36" s="28" t="n">
        <f aca="false">B36+INDEX(Setup!$C$13:$C$26,MATCH(C36,Setup!$A$13:$A$26,0))</f>
        <v>46132</v>
      </c>
      <c r="H36" s="29" t="n">
        <f aca="false">SUMIFS(Collections!$E$6:$E$2000,Collections!$C$6:$C$2000,A36)</f>
        <v>126314</v>
      </c>
      <c r="I36" s="44" t="n">
        <f aca="false">E36-H36</f>
        <v>0</v>
      </c>
      <c r="J36" s="31" t="str">
        <f aca="false">IF(I36&gt;Setup!$B$9,Setup!$B$5-G36,"")</f>
        <v/>
      </c>
      <c r="K36" s="8" t="str">
        <f aca="false">IF(I36&lt;=Setup!$B$9,"Settled",IF(J36&lt;=0,"Not yet due",IF(J36&lt;=30,"1-30 days",IF(J36&lt;=60,"31-60 days",IF(J36&lt;=90,"61-90 days","Over 90 days")))))</f>
        <v>Settled</v>
      </c>
    </row>
    <row r="37" customFormat="false" ht="15" hidden="false" customHeight="false" outlineLevel="0" collapsed="false">
      <c r="A37" s="5" t="s">
        <v>154</v>
      </c>
      <c r="B37" s="41" t="n">
        <v>46103</v>
      </c>
      <c r="C37" s="5" t="s">
        <v>92</v>
      </c>
      <c r="D37" s="5" t="s">
        <v>120</v>
      </c>
      <c r="E37" s="43" t="n">
        <v>234108</v>
      </c>
      <c r="F37" s="27" t="str">
        <f aca="false">INDEX(Setup!$B$13:$B$26,MATCH(C37,Setup!$A$13:$A$26,0))</f>
        <v>East</v>
      </c>
      <c r="G37" s="28" t="n">
        <f aca="false">B37+INDEX(Setup!$C$13:$C$26,MATCH(C37,Setup!$A$13:$A$26,0))</f>
        <v>46148</v>
      </c>
      <c r="H37" s="29" t="n">
        <f aca="false">SUMIFS(Collections!$E$6:$E$2000,Collections!$C$6:$C$2000,A37)</f>
        <v>234108</v>
      </c>
      <c r="I37" s="44" t="n">
        <f aca="false">E37-H37</f>
        <v>0</v>
      </c>
      <c r="J37" s="31" t="str">
        <f aca="false">IF(I37&gt;Setup!$B$9,Setup!$B$5-G37,"")</f>
        <v/>
      </c>
      <c r="K37" s="8" t="str">
        <f aca="false">IF(I37&lt;=Setup!$B$9,"Settled",IF(J37&lt;=0,"Not yet due",IF(J37&lt;=30,"1-30 days",IF(J37&lt;=60,"31-60 days",IF(J37&lt;=90,"61-90 days","Over 90 days")))))</f>
        <v>Settled</v>
      </c>
    </row>
    <row r="38" customFormat="false" ht="15" hidden="false" customHeight="false" outlineLevel="0" collapsed="false">
      <c r="A38" s="5" t="s">
        <v>155</v>
      </c>
      <c r="B38" s="41" t="n">
        <v>46104</v>
      </c>
      <c r="C38" s="5" t="s">
        <v>90</v>
      </c>
      <c r="D38" s="5" t="s">
        <v>122</v>
      </c>
      <c r="E38" s="43" t="n">
        <v>289772</v>
      </c>
      <c r="F38" s="27" t="str">
        <f aca="false">INDEX(Setup!$B$13:$B$26,MATCH(C38,Setup!$A$13:$A$26,0))</f>
        <v>East</v>
      </c>
      <c r="G38" s="28" t="n">
        <f aca="false">B38+INDEX(Setup!$C$13:$C$26,MATCH(C38,Setup!$A$13:$A$26,0))</f>
        <v>46134</v>
      </c>
      <c r="H38" s="29" t="n">
        <f aca="false">SUMIFS(Collections!$E$6:$E$2000,Collections!$C$6:$C$2000,A38)</f>
        <v>289772</v>
      </c>
      <c r="I38" s="44" t="n">
        <f aca="false">E38-H38</f>
        <v>0</v>
      </c>
      <c r="J38" s="31" t="str">
        <f aca="false">IF(I38&gt;Setup!$B$9,Setup!$B$5-G38,"")</f>
        <v/>
      </c>
      <c r="K38" s="8" t="str">
        <f aca="false">IF(I38&lt;=Setup!$B$9,"Settled",IF(J38&lt;=0,"Not yet due",IF(J38&lt;=30,"1-30 days",IF(J38&lt;=60,"31-60 days",IF(J38&lt;=90,"61-90 days","Over 90 days")))))</f>
        <v>Settled</v>
      </c>
    </row>
    <row r="39" customFormat="false" ht="15" hidden="false" customHeight="false" outlineLevel="0" collapsed="false">
      <c r="A39" s="5" t="s">
        <v>156</v>
      </c>
      <c r="B39" s="41" t="n">
        <v>46104</v>
      </c>
      <c r="C39" s="5" t="s">
        <v>103</v>
      </c>
      <c r="D39" s="5" t="s">
        <v>120</v>
      </c>
      <c r="E39" s="43" t="n">
        <v>270089</v>
      </c>
      <c r="F39" s="27" t="str">
        <f aca="false">INDEX(Setup!$B$13:$B$26,MATCH(C39,Setup!$A$13:$A$26,0))</f>
        <v>North</v>
      </c>
      <c r="G39" s="28" t="n">
        <f aca="false">B39+INDEX(Setup!$C$13:$C$26,MATCH(C39,Setup!$A$13:$A$26,0))</f>
        <v>46134</v>
      </c>
      <c r="H39" s="29" t="n">
        <f aca="false">SUMIFS(Collections!$E$6:$E$2000,Collections!$C$6:$C$2000,A39)</f>
        <v>270089</v>
      </c>
      <c r="I39" s="44" t="n">
        <f aca="false">E39-H39</f>
        <v>0</v>
      </c>
      <c r="J39" s="31" t="str">
        <f aca="false">IF(I39&gt;Setup!$B$9,Setup!$B$5-G39,"")</f>
        <v/>
      </c>
      <c r="K39" s="8" t="str">
        <f aca="false">IF(I39&lt;=Setup!$B$9,"Settled",IF(J39&lt;=0,"Not yet due",IF(J39&lt;=30,"1-30 days",IF(J39&lt;=60,"31-60 days",IF(J39&lt;=90,"61-90 days","Over 90 days")))))</f>
        <v>Settled</v>
      </c>
    </row>
    <row r="40" customFormat="false" ht="15" hidden="false" customHeight="false" outlineLevel="0" collapsed="false">
      <c r="A40" s="5" t="s">
        <v>157</v>
      </c>
      <c r="B40" s="41" t="n">
        <v>46105</v>
      </c>
      <c r="C40" s="5" t="s">
        <v>102</v>
      </c>
      <c r="D40" s="5" t="s">
        <v>133</v>
      </c>
      <c r="E40" s="43" t="n">
        <v>287689</v>
      </c>
      <c r="F40" s="27" t="str">
        <f aca="false">INDEX(Setup!$B$13:$B$26,MATCH(C40,Setup!$A$13:$A$26,0))</f>
        <v>North</v>
      </c>
      <c r="G40" s="28" t="n">
        <f aca="false">B40+INDEX(Setup!$C$13:$C$26,MATCH(C40,Setup!$A$13:$A$26,0))</f>
        <v>46135</v>
      </c>
      <c r="H40" s="29" t="n">
        <f aca="false">SUMIFS(Collections!$E$6:$E$2000,Collections!$C$6:$C$2000,A40)</f>
        <v>287689</v>
      </c>
      <c r="I40" s="44" t="n">
        <f aca="false">E40-H40</f>
        <v>0</v>
      </c>
      <c r="J40" s="31" t="str">
        <f aca="false">IF(I40&gt;Setup!$B$9,Setup!$B$5-G40,"")</f>
        <v/>
      </c>
      <c r="K40" s="8" t="str">
        <f aca="false">IF(I40&lt;=Setup!$B$9,"Settled",IF(J40&lt;=0,"Not yet due",IF(J40&lt;=30,"1-30 days",IF(J40&lt;=60,"31-60 days",IF(J40&lt;=90,"61-90 days","Over 90 days")))))</f>
        <v>Settled</v>
      </c>
    </row>
    <row r="41" customFormat="false" ht="15" hidden="false" customHeight="false" outlineLevel="0" collapsed="false">
      <c r="A41" s="5" t="s">
        <v>158</v>
      </c>
      <c r="B41" s="41" t="n">
        <v>46106</v>
      </c>
      <c r="C41" s="5" t="s">
        <v>90</v>
      </c>
      <c r="D41" s="5" t="s">
        <v>122</v>
      </c>
      <c r="E41" s="43" t="n">
        <v>73108</v>
      </c>
      <c r="F41" s="27" t="str">
        <f aca="false">INDEX(Setup!$B$13:$B$26,MATCH(C41,Setup!$A$13:$A$26,0))</f>
        <v>East</v>
      </c>
      <c r="G41" s="28" t="n">
        <f aca="false">B41+INDEX(Setup!$C$13:$C$26,MATCH(C41,Setup!$A$13:$A$26,0))</f>
        <v>46136</v>
      </c>
      <c r="H41" s="29" t="n">
        <f aca="false">SUMIFS(Collections!$E$6:$E$2000,Collections!$C$6:$C$2000,A41)</f>
        <v>73108</v>
      </c>
      <c r="I41" s="44" t="n">
        <f aca="false">E41-H41</f>
        <v>0</v>
      </c>
      <c r="J41" s="31" t="str">
        <f aca="false">IF(I41&gt;Setup!$B$9,Setup!$B$5-G41,"")</f>
        <v/>
      </c>
      <c r="K41" s="8" t="str">
        <f aca="false">IF(I41&lt;=Setup!$B$9,"Settled",IF(J41&lt;=0,"Not yet due",IF(J41&lt;=30,"1-30 days",IF(J41&lt;=60,"31-60 days",IF(J41&lt;=90,"61-90 days","Over 90 days")))))</f>
        <v>Settled</v>
      </c>
    </row>
    <row r="42" customFormat="false" ht="15" hidden="false" customHeight="false" outlineLevel="0" collapsed="false">
      <c r="A42" s="5" t="s">
        <v>159</v>
      </c>
      <c r="B42" s="41" t="n">
        <v>46108</v>
      </c>
      <c r="C42" s="5" t="s">
        <v>87</v>
      </c>
      <c r="D42" s="5" t="s">
        <v>128</v>
      </c>
      <c r="E42" s="43" t="n">
        <v>294234</v>
      </c>
      <c r="F42" s="27" t="str">
        <f aca="false">INDEX(Setup!$B$13:$B$26,MATCH(C42,Setup!$A$13:$A$26,0))</f>
        <v>East</v>
      </c>
      <c r="G42" s="28" t="n">
        <f aca="false">B42+INDEX(Setup!$C$13:$C$26,MATCH(C42,Setup!$A$13:$A$26,0))</f>
        <v>46138</v>
      </c>
      <c r="H42" s="29" t="n">
        <f aca="false">SUMIFS(Collections!$E$6:$E$2000,Collections!$C$6:$C$2000,A42)</f>
        <v>294234</v>
      </c>
      <c r="I42" s="44" t="n">
        <f aca="false">E42-H42</f>
        <v>0</v>
      </c>
      <c r="J42" s="31" t="str">
        <f aca="false">IF(I42&gt;Setup!$B$9,Setup!$B$5-G42,"")</f>
        <v/>
      </c>
      <c r="K42" s="8" t="str">
        <f aca="false">IF(I42&lt;=Setup!$B$9,"Settled",IF(J42&lt;=0,"Not yet due",IF(J42&lt;=30,"1-30 days",IF(J42&lt;=60,"31-60 days",IF(J42&lt;=90,"61-90 days","Over 90 days")))))</f>
        <v>Settled</v>
      </c>
    </row>
    <row r="43" customFormat="false" ht="15" hidden="false" customHeight="false" outlineLevel="0" collapsed="false">
      <c r="A43" s="5" t="s">
        <v>160</v>
      </c>
      <c r="B43" s="41" t="n">
        <v>46108</v>
      </c>
      <c r="C43" s="5" t="s">
        <v>97</v>
      </c>
      <c r="D43" s="5" t="s">
        <v>122</v>
      </c>
      <c r="E43" s="43" t="n">
        <v>149133</v>
      </c>
      <c r="F43" s="27" t="str">
        <f aca="false">INDEX(Setup!$B$13:$B$26,MATCH(C43,Setup!$A$13:$A$26,0))</f>
        <v>West</v>
      </c>
      <c r="G43" s="28" t="n">
        <f aca="false">B43+INDEX(Setup!$C$13:$C$26,MATCH(C43,Setup!$A$13:$A$26,0))</f>
        <v>46138</v>
      </c>
      <c r="H43" s="29" t="n">
        <f aca="false">SUMIFS(Collections!$E$6:$E$2000,Collections!$C$6:$C$2000,A43)</f>
        <v>149133</v>
      </c>
      <c r="I43" s="44" t="n">
        <f aca="false">E43-H43</f>
        <v>0</v>
      </c>
      <c r="J43" s="31" t="str">
        <f aca="false">IF(I43&gt;Setup!$B$9,Setup!$B$5-G43,"")</f>
        <v/>
      </c>
      <c r="K43" s="8" t="str">
        <f aca="false">IF(I43&lt;=Setup!$B$9,"Settled",IF(J43&lt;=0,"Not yet due",IF(J43&lt;=30,"1-30 days",IF(J43&lt;=60,"31-60 days",IF(J43&lt;=90,"61-90 days","Over 90 days")))))</f>
        <v>Settled</v>
      </c>
    </row>
    <row r="44" customFormat="false" ht="15" hidden="false" customHeight="false" outlineLevel="0" collapsed="false">
      <c r="A44" s="5" t="s">
        <v>161</v>
      </c>
      <c r="B44" s="41" t="n">
        <v>46109</v>
      </c>
      <c r="C44" s="5" t="s">
        <v>97</v>
      </c>
      <c r="D44" s="5" t="s">
        <v>122</v>
      </c>
      <c r="E44" s="43" t="n">
        <v>179903</v>
      </c>
      <c r="F44" s="27" t="str">
        <f aca="false">INDEX(Setup!$B$13:$B$26,MATCH(C44,Setup!$A$13:$A$26,0))</f>
        <v>West</v>
      </c>
      <c r="G44" s="28" t="n">
        <f aca="false">B44+INDEX(Setup!$C$13:$C$26,MATCH(C44,Setup!$A$13:$A$26,0))</f>
        <v>46139</v>
      </c>
      <c r="H44" s="29" t="n">
        <f aca="false">SUMIFS(Collections!$E$6:$E$2000,Collections!$C$6:$C$2000,A44)</f>
        <v>179903</v>
      </c>
      <c r="I44" s="44" t="n">
        <f aca="false">E44-H44</f>
        <v>0</v>
      </c>
      <c r="J44" s="31" t="str">
        <f aca="false">IF(I44&gt;Setup!$B$9,Setup!$B$5-G44,"")</f>
        <v/>
      </c>
      <c r="K44" s="8" t="str">
        <f aca="false">IF(I44&lt;=Setup!$B$9,"Settled",IF(J44&lt;=0,"Not yet due",IF(J44&lt;=30,"1-30 days",IF(J44&lt;=60,"31-60 days",IF(J44&lt;=90,"61-90 days","Over 90 days")))))</f>
        <v>Settled</v>
      </c>
    </row>
    <row r="45" customFormat="false" ht="15" hidden="false" customHeight="false" outlineLevel="0" collapsed="false">
      <c r="A45" s="5" t="s">
        <v>162</v>
      </c>
      <c r="B45" s="41" t="n">
        <v>46111</v>
      </c>
      <c r="C45" s="5" t="s">
        <v>87</v>
      </c>
      <c r="D45" s="5" t="s">
        <v>133</v>
      </c>
      <c r="E45" s="43" t="n">
        <v>363662</v>
      </c>
      <c r="F45" s="27" t="str">
        <f aca="false">INDEX(Setup!$B$13:$B$26,MATCH(C45,Setup!$A$13:$A$26,0))</f>
        <v>East</v>
      </c>
      <c r="G45" s="28" t="n">
        <f aca="false">B45+INDEX(Setup!$C$13:$C$26,MATCH(C45,Setup!$A$13:$A$26,0))</f>
        <v>46141</v>
      </c>
      <c r="H45" s="29" t="n">
        <f aca="false">SUMIFS(Collections!$E$6:$E$2000,Collections!$C$6:$C$2000,A45)</f>
        <v>363662</v>
      </c>
      <c r="I45" s="44" t="n">
        <f aca="false">E45-H45</f>
        <v>0</v>
      </c>
      <c r="J45" s="31" t="str">
        <f aca="false">IF(I45&gt;Setup!$B$9,Setup!$B$5-G45,"")</f>
        <v/>
      </c>
      <c r="K45" s="8" t="str">
        <f aca="false">IF(I45&lt;=Setup!$B$9,"Settled",IF(J45&lt;=0,"Not yet due",IF(J45&lt;=30,"1-30 days",IF(J45&lt;=60,"31-60 days",IF(J45&lt;=90,"61-90 days","Over 90 days")))))</f>
        <v>Settled</v>
      </c>
    </row>
    <row r="46" customFormat="false" ht="15" hidden="false" customHeight="false" outlineLevel="0" collapsed="false">
      <c r="A46" s="5" t="s">
        <v>163</v>
      </c>
      <c r="B46" s="41" t="n">
        <v>46114</v>
      </c>
      <c r="C46" s="5" t="s">
        <v>107</v>
      </c>
      <c r="D46" s="5" t="s">
        <v>120</v>
      </c>
      <c r="E46" s="43" t="n">
        <v>438704</v>
      </c>
      <c r="F46" s="27" t="str">
        <f aca="false">INDEX(Setup!$B$13:$B$26,MATCH(C46,Setup!$A$13:$A$26,0))</f>
        <v>South</v>
      </c>
      <c r="G46" s="28" t="n">
        <f aca="false">B46+INDEX(Setup!$C$13:$C$26,MATCH(C46,Setup!$A$13:$A$26,0))</f>
        <v>46144</v>
      </c>
      <c r="H46" s="29" t="n">
        <f aca="false">SUMIFS(Collections!$E$6:$E$2000,Collections!$C$6:$C$2000,A46)</f>
        <v>438704</v>
      </c>
      <c r="I46" s="44" t="n">
        <f aca="false">E46-H46</f>
        <v>0</v>
      </c>
      <c r="J46" s="31" t="str">
        <f aca="false">IF(I46&gt;Setup!$B$9,Setup!$B$5-G46,"")</f>
        <v/>
      </c>
      <c r="K46" s="8" t="str">
        <f aca="false">IF(I46&lt;=Setup!$B$9,"Settled",IF(J46&lt;=0,"Not yet due",IF(J46&lt;=30,"1-30 days",IF(J46&lt;=60,"31-60 days",IF(J46&lt;=90,"61-90 days","Over 90 days")))))</f>
        <v>Settled</v>
      </c>
    </row>
    <row r="47" customFormat="false" ht="15" hidden="false" customHeight="false" outlineLevel="0" collapsed="false">
      <c r="A47" s="5" t="s">
        <v>164</v>
      </c>
      <c r="B47" s="41" t="n">
        <v>46114</v>
      </c>
      <c r="C47" s="5" t="s">
        <v>100</v>
      </c>
      <c r="D47" s="5" t="s">
        <v>133</v>
      </c>
      <c r="E47" s="43" t="n">
        <v>86308</v>
      </c>
      <c r="F47" s="27" t="str">
        <f aca="false">INDEX(Setup!$B$13:$B$26,MATCH(C47,Setup!$A$13:$A$26,0))</f>
        <v>North</v>
      </c>
      <c r="G47" s="28" t="n">
        <f aca="false">B47+INDEX(Setup!$C$13:$C$26,MATCH(C47,Setup!$A$13:$A$26,0))</f>
        <v>46144</v>
      </c>
      <c r="H47" s="29" t="n">
        <f aca="false">SUMIFS(Collections!$E$6:$E$2000,Collections!$C$6:$C$2000,A47)</f>
        <v>86308</v>
      </c>
      <c r="I47" s="44" t="n">
        <f aca="false">E47-H47</f>
        <v>0</v>
      </c>
      <c r="J47" s="31" t="str">
        <f aca="false">IF(I47&gt;Setup!$B$9,Setup!$B$5-G47,"")</f>
        <v/>
      </c>
      <c r="K47" s="8" t="str">
        <f aca="false">IF(I47&lt;=Setup!$B$9,"Settled",IF(J47&lt;=0,"Not yet due",IF(J47&lt;=30,"1-30 days",IF(J47&lt;=60,"31-60 days",IF(J47&lt;=90,"61-90 days","Over 90 days")))))</f>
        <v>Settled</v>
      </c>
    </row>
    <row r="48" customFormat="false" ht="15" hidden="false" customHeight="false" outlineLevel="0" collapsed="false">
      <c r="A48" s="5" t="s">
        <v>165</v>
      </c>
      <c r="B48" s="41" t="n">
        <v>46114</v>
      </c>
      <c r="C48" s="5" t="s">
        <v>105</v>
      </c>
      <c r="D48" s="5" t="s">
        <v>120</v>
      </c>
      <c r="E48" s="43" t="n">
        <v>119088</v>
      </c>
      <c r="F48" s="27" t="str">
        <f aca="false">INDEX(Setup!$B$13:$B$26,MATCH(C48,Setup!$A$13:$A$26,0))</f>
        <v>South</v>
      </c>
      <c r="G48" s="28" t="n">
        <f aca="false">B48+INDEX(Setup!$C$13:$C$26,MATCH(C48,Setup!$A$13:$A$26,0))</f>
        <v>46144</v>
      </c>
      <c r="H48" s="29" t="n">
        <f aca="false">SUMIFS(Collections!$E$6:$E$2000,Collections!$C$6:$C$2000,A48)</f>
        <v>119088</v>
      </c>
      <c r="I48" s="44" t="n">
        <f aca="false">E48-H48</f>
        <v>0</v>
      </c>
      <c r="J48" s="31" t="str">
        <f aca="false">IF(I48&gt;Setup!$B$9,Setup!$B$5-G48,"")</f>
        <v/>
      </c>
      <c r="K48" s="8" t="str">
        <f aca="false">IF(I48&lt;=Setup!$B$9,"Settled",IF(J48&lt;=0,"Not yet due",IF(J48&lt;=30,"1-30 days",IF(J48&lt;=60,"31-60 days",IF(J48&lt;=90,"61-90 days","Over 90 days")))))</f>
        <v>Settled</v>
      </c>
    </row>
    <row r="49" customFormat="false" ht="15" hidden="false" customHeight="false" outlineLevel="0" collapsed="false">
      <c r="A49" s="5" t="s">
        <v>166</v>
      </c>
      <c r="B49" s="41" t="n">
        <v>46115</v>
      </c>
      <c r="C49" s="5" t="s">
        <v>104</v>
      </c>
      <c r="D49" s="5" t="s">
        <v>122</v>
      </c>
      <c r="E49" s="43" t="n">
        <v>403840</v>
      </c>
      <c r="F49" s="27" t="str">
        <f aca="false">INDEX(Setup!$B$13:$B$26,MATCH(C49,Setup!$A$13:$A$26,0))</f>
        <v>North</v>
      </c>
      <c r="G49" s="28" t="n">
        <f aca="false">B49+INDEX(Setup!$C$13:$C$26,MATCH(C49,Setup!$A$13:$A$26,0))</f>
        <v>46160</v>
      </c>
      <c r="H49" s="29" t="n">
        <f aca="false">SUMIFS(Collections!$E$6:$E$2000,Collections!$C$6:$C$2000,A49)</f>
        <v>403840</v>
      </c>
      <c r="I49" s="44" t="n">
        <f aca="false">E49-H49</f>
        <v>0</v>
      </c>
      <c r="J49" s="31" t="str">
        <f aca="false">IF(I49&gt;Setup!$B$9,Setup!$B$5-G49,"")</f>
        <v/>
      </c>
      <c r="K49" s="8" t="str">
        <f aca="false">IF(I49&lt;=Setup!$B$9,"Settled",IF(J49&lt;=0,"Not yet due",IF(J49&lt;=30,"1-30 days",IF(J49&lt;=60,"31-60 days",IF(J49&lt;=90,"61-90 days","Over 90 days")))))</f>
        <v>Settled</v>
      </c>
    </row>
    <row r="50" customFormat="false" ht="15" hidden="false" customHeight="false" outlineLevel="0" collapsed="false">
      <c r="A50" s="5" t="s">
        <v>167</v>
      </c>
      <c r="B50" s="41" t="n">
        <v>46117</v>
      </c>
      <c r="C50" s="5" t="s">
        <v>97</v>
      </c>
      <c r="D50" s="5" t="s">
        <v>122</v>
      </c>
      <c r="E50" s="43" t="n">
        <v>333354</v>
      </c>
      <c r="F50" s="27" t="str">
        <f aca="false">INDEX(Setup!$B$13:$B$26,MATCH(C50,Setup!$A$13:$A$26,0))</f>
        <v>West</v>
      </c>
      <c r="G50" s="28" t="n">
        <f aca="false">B50+INDEX(Setup!$C$13:$C$26,MATCH(C50,Setup!$A$13:$A$26,0))</f>
        <v>46147</v>
      </c>
      <c r="H50" s="29" t="n">
        <f aca="false">SUMIFS(Collections!$E$6:$E$2000,Collections!$C$6:$C$2000,A50)</f>
        <v>333354</v>
      </c>
      <c r="I50" s="44" t="n">
        <f aca="false">E50-H50</f>
        <v>0</v>
      </c>
      <c r="J50" s="31" t="str">
        <f aca="false">IF(I50&gt;Setup!$B$9,Setup!$B$5-G50,"")</f>
        <v/>
      </c>
      <c r="K50" s="8" t="str">
        <f aca="false">IF(I50&lt;=Setup!$B$9,"Settled",IF(J50&lt;=0,"Not yet due",IF(J50&lt;=30,"1-30 days",IF(J50&lt;=60,"31-60 days",IF(J50&lt;=90,"61-90 days","Over 90 days")))))</f>
        <v>Settled</v>
      </c>
    </row>
    <row r="51" customFormat="false" ht="15" hidden="false" customHeight="false" outlineLevel="0" collapsed="false">
      <c r="A51" s="5" t="s">
        <v>168</v>
      </c>
      <c r="B51" s="41" t="n">
        <v>46118</v>
      </c>
      <c r="C51" s="5" t="s">
        <v>105</v>
      </c>
      <c r="D51" s="5" t="s">
        <v>120</v>
      </c>
      <c r="E51" s="43" t="n">
        <v>502205</v>
      </c>
      <c r="F51" s="27" t="str">
        <f aca="false">INDEX(Setup!$B$13:$B$26,MATCH(C51,Setup!$A$13:$A$26,0))</f>
        <v>South</v>
      </c>
      <c r="G51" s="28" t="n">
        <f aca="false">B51+INDEX(Setup!$C$13:$C$26,MATCH(C51,Setup!$A$13:$A$26,0))</f>
        <v>46148</v>
      </c>
      <c r="H51" s="29" t="n">
        <f aca="false">SUMIFS(Collections!$E$6:$E$2000,Collections!$C$6:$C$2000,A51)</f>
        <v>502205</v>
      </c>
      <c r="I51" s="44" t="n">
        <f aca="false">E51-H51</f>
        <v>0</v>
      </c>
      <c r="J51" s="31" t="str">
        <f aca="false">IF(I51&gt;Setup!$B$9,Setup!$B$5-G51,"")</f>
        <v/>
      </c>
      <c r="K51" s="8" t="str">
        <f aca="false">IF(I51&lt;=Setup!$B$9,"Settled",IF(J51&lt;=0,"Not yet due",IF(J51&lt;=30,"1-30 days",IF(J51&lt;=60,"31-60 days",IF(J51&lt;=90,"61-90 days","Over 90 days")))))</f>
        <v>Settled</v>
      </c>
    </row>
    <row r="52" customFormat="false" ht="15" hidden="false" customHeight="false" outlineLevel="0" collapsed="false">
      <c r="A52" s="5" t="s">
        <v>169</v>
      </c>
      <c r="B52" s="41" t="n">
        <v>46119</v>
      </c>
      <c r="C52" s="5" t="s">
        <v>92</v>
      </c>
      <c r="D52" s="5" t="s">
        <v>120</v>
      </c>
      <c r="E52" s="43" t="n">
        <v>292973</v>
      </c>
      <c r="F52" s="27" t="str">
        <f aca="false">INDEX(Setup!$B$13:$B$26,MATCH(C52,Setup!$A$13:$A$26,0))</f>
        <v>East</v>
      </c>
      <c r="G52" s="28" t="n">
        <f aca="false">B52+INDEX(Setup!$C$13:$C$26,MATCH(C52,Setup!$A$13:$A$26,0))</f>
        <v>46164</v>
      </c>
      <c r="H52" s="29" t="n">
        <f aca="false">SUMIFS(Collections!$E$6:$E$2000,Collections!$C$6:$C$2000,A52)</f>
        <v>287113</v>
      </c>
      <c r="I52" s="44" t="n">
        <f aca="false">E52-H52</f>
        <v>5860</v>
      </c>
      <c r="J52" s="31" t="n">
        <f aca="false">IF(I52&gt;Setup!$B$9,Setup!$B$5-G52,"")</f>
        <v>131</v>
      </c>
      <c r="K52" s="8" t="str">
        <f aca="false">IF(I52&lt;=Setup!$B$9,"Settled",IF(J52&lt;=0,"Not yet due",IF(J52&lt;=30,"1-30 days",IF(J52&lt;=60,"31-60 days",IF(J52&lt;=90,"61-90 days","Over 90 days")))))</f>
        <v>Over 90 days</v>
      </c>
    </row>
    <row r="53" customFormat="false" ht="15" hidden="false" customHeight="false" outlineLevel="0" collapsed="false">
      <c r="A53" s="5" t="s">
        <v>170</v>
      </c>
      <c r="B53" s="41" t="n">
        <v>46119</v>
      </c>
      <c r="C53" s="5" t="s">
        <v>109</v>
      </c>
      <c r="D53" s="5" t="s">
        <v>133</v>
      </c>
      <c r="E53" s="43" t="n">
        <v>208335</v>
      </c>
      <c r="F53" s="27" t="str">
        <f aca="false">INDEX(Setup!$B$13:$B$26,MATCH(C53,Setup!$A$13:$A$26,0))</f>
        <v>South</v>
      </c>
      <c r="G53" s="28" t="n">
        <f aca="false">B53+INDEX(Setup!$C$13:$C$26,MATCH(C53,Setup!$A$13:$A$26,0))</f>
        <v>46164</v>
      </c>
      <c r="H53" s="29" t="n">
        <f aca="false">SUMIFS(Collections!$E$6:$E$2000,Collections!$C$6:$C$2000,A53)</f>
        <v>208335</v>
      </c>
      <c r="I53" s="44" t="n">
        <f aca="false">E53-H53</f>
        <v>0</v>
      </c>
      <c r="J53" s="31" t="str">
        <f aca="false">IF(I53&gt;Setup!$B$9,Setup!$B$5-G53,"")</f>
        <v/>
      </c>
      <c r="K53" s="8" t="str">
        <f aca="false">IF(I53&lt;=Setup!$B$9,"Settled",IF(J53&lt;=0,"Not yet due",IF(J53&lt;=30,"1-30 days",IF(J53&lt;=60,"31-60 days",IF(J53&lt;=90,"61-90 days","Over 90 days")))))</f>
        <v>Settled</v>
      </c>
    </row>
    <row r="54" customFormat="false" ht="15" hidden="false" customHeight="false" outlineLevel="0" collapsed="false">
      <c r="A54" s="5" t="s">
        <v>171</v>
      </c>
      <c r="B54" s="41" t="n">
        <v>46122</v>
      </c>
      <c r="C54" s="5" t="s">
        <v>109</v>
      </c>
      <c r="D54" s="5" t="s">
        <v>122</v>
      </c>
      <c r="E54" s="43" t="n">
        <v>251592</v>
      </c>
      <c r="F54" s="27" t="str">
        <f aca="false">INDEX(Setup!$B$13:$B$26,MATCH(C54,Setup!$A$13:$A$26,0))</f>
        <v>South</v>
      </c>
      <c r="G54" s="28" t="n">
        <f aca="false">B54+INDEX(Setup!$C$13:$C$26,MATCH(C54,Setup!$A$13:$A$26,0))</f>
        <v>46167</v>
      </c>
      <c r="H54" s="29" t="n">
        <f aca="false">SUMIFS(Collections!$E$6:$E$2000,Collections!$C$6:$C$2000,A54)</f>
        <v>251592</v>
      </c>
      <c r="I54" s="44" t="n">
        <f aca="false">E54-H54</f>
        <v>0</v>
      </c>
      <c r="J54" s="31" t="str">
        <f aca="false">IF(I54&gt;Setup!$B$9,Setup!$B$5-G54,"")</f>
        <v/>
      </c>
      <c r="K54" s="8" t="str">
        <f aca="false">IF(I54&lt;=Setup!$B$9,"Settled",IF(J54&lt;=0,"Not yet due",IF(J54&lt;=30,"1-30 days",IF(J54&lt;=60,"31-60 days",IF(J54&lt;=90,"61-90 days","Over 90 days")))))</f>
        <v>Settled</v>
      </c>
    </row>
    <row r="55" customFormat="false" ht="15" hidden="false" customHeight="false" outlineLevel="0" collapsed="false">
      <c r="A55" s="5" t="s">
        <v>172</v>
      </c>
      <c r="B55" s="41" t="n">
        <v>46122</v>
      </c>
      <c r="C55" s="5" t="s">
        <v>105</v>
      </c>
      <c r="D55" s="5" t="s">
        <v>128</v>
      </c>
      <c r="E55" s="43" t="n">
        <v>543226</v>
      </c>
      <c r="F55" s="27" t="str">
        <f aca="false">INDEX(Setup!$B$13:$B$26,MATCH(C55,Setup!$A$13:$A$26,0))</f>
        <v>South</v>
      </c>
      <c r="G55" s="28" t="n">
        <f aca="false">B55+INDEX(Setup!$C$13:$C$26,MATCH(C55,Setup!$A$13:$A$26,0))</f>
        <v>46152</v>
      </c>
      <c r="H55" s="29" t="n">
        <f aca="false">SUMIFS(Collections!$E$6:$E$2000,Collections!$C$6:$C$2000,A55)</f>
        <v>543226</v>
      </c>
      <c r="I55" s="44" t="n">
        <f aca="false">E55-H55</f>
        <v>0</v>
      </c>
      <c r="J55" s="31" t="str">
        <f aca="false">IF(I55&gt;Setup!$B$9,Setup!$B$5-G55,"")</f>
        <v/>
      </c>
      <c r="K55" s="8" t="str">
        <f aca="false">IF(I55&lt;=Setup!$B$9,"Settled",IF(J55&lt;=0,"Not yet due",IF(J55&lt;=30,"1-30 days",IF(J55&lt;=60,"31-60 days",IF(J55&lt;=90,"61-90 days","Over 90 days")))))</f>
        <v>Settled</v>
      </c>
    </row>
    <row r="56" customFormat="false" ht="15" hidden="false" customHeight="false" outlineLevel="0" collapsed="false">
      <c r="A56" s="5" t="s">
        <v>173</v>
      </c>
      <c r="B56" s="41" t="n">
        <v>46123</v>
      </c>
      <c r="C56" s="5" t="s">
        <v>109</v>
      </c>
      <c r="D56" s="5" t="s">
        <v>122</v>
      </c>
      <c r="E56" s="43" t="n">
        <v>198801</v>
      </c>
      <c r="F56" s="27" t="str">
        <f aca="false">INDEX(Setup!$B$13:$B$26,MATCH(C56,Setup!$A$13:$A$26,0))</f>
        <v>South</v>
      </c>
      <c r="G56" s="28" t="n">
        <f aca="false">B56+INDEX(Setup!$C$13:$C$26,MATCH(C56,Setup!$A$13:$A$26,0))</f>
        <v>46168</v>
      </c>
      <c r="H56" s="29" t="n">
        <f aca="false">SUMIFS(Collections!$E$6:$E$2000,Collections!$C$6:$C$2000,A56)</f>
        <v>198801</v>
      </c>
      <c r="I56" s="44" t="n">
        <f aca="false">E56-H56</f>
        <v>0</v>
      </c>
      <c r="J56" s="31" t="str">
        <f aca="false">IF(I56&gt;Setup!$B$9,Setup!$B$5-G56,"")</f>
        <v/>
      </c>
      <c r="K56" s="8" t="str">
        <f aca="false">IF(I56&lt;=Setup!$B$9,"Settled",IF(J56&lt;=0,"Not yet due",IF(J56&lt;=30,"1-30 days",IF(J56&lt;=60,"31-60 days",IF(J56&lt;=90,"61-90 days","Over 90 days")))))</f>
        <v>Settled</v>
      </c>
    </row>
    <row r="57" customFormat="false" ht="15" hidden="false" customHeight="false" outlineLevel="0" collapsed="false">
      <c r="A57" s="5" t="s">
        <v>174</v>
      </c>
      <c r="B57" s="41" t="n">
        <v>46123</v>
      </c>
      <c r="C57" s="5" t="s">
        <v>104</v>
      </c>
      <c r="D57" s="5" t="s">
        <v>133</v>
      </c>
      <c r="E57" s="43" t="n">
        <v>336998</v>
      </c>
      <c r="F57" s="27" t="str">
        <f aca="false">INDEX(Setup!$B$13:$B$26,MATCH(C57,Setup!$A$13:$A$26,0))</f>
        <v>North</v>
      </c>
      <c r="G57" s="28" t="n">
        <f aca="false">B57+INDEX(Setup!$C$13:$C$26,MATCH(C57,Setup!$A$13:$A$26,0))</f>
        <v>46168</v>
      </c>
      <c r="H57" s="29" t="n">
        <f aca="false">SUMIFS(Collections!$E$6:$E$2000,Collections!$C$6:$C$2000,A57)</f>
        <v>0</v>
      </c>
      <c r="I57" s="44" t="n">
        <f aca="false">E57-H57</f>
        <v>336998</v>
      </c>
      <c r="J57" s="31" t="n">
        <f aca="false">IF(I57&gt;Setup!$B$9,Setup!$B$5-G57,"")</f>
        <v>127</v>
      </c>
      <c r="K57" s="8" t="str">
        <f aca="false">IF(I57&lt;=Setup!$B$9,"Settled",IF(J57&lt;=0,"Not yet due",IF(J57&lt;=30,"1-30 days",IF(J57&lt;=60,"31-60 days",IF(J57&lt;=90,"61-90 days","Over 90 days")))))</f>
        <v>Over 90 days</v>
      </c>
    </row>
    <row r="58" customFormat="false" ht="15" hidden="false" customHeight="false" outlineLevel="0" collapsed="false">
      <c r="A58" s="5" t="s">
        <v>175</v>
      </c>
      <c r="B58" s="41" t="n">
        <v>46124</v>
      </c>
      <c r="C58" s="5" t="s">
        <v>108</v>
      </c>
      <c r="D58" s="5" t="s">
        <v>128</v>
      </c>
      <c r="E58" s="43" t="n">
        <v>177297</v>
      </c>
      <c r="F58" s="27" t="str">
        <f aca="false">INDEX(Setup!$B$13:$B$26,MATCH(C58,Setup!$A$13:$A$26,0))</f>
        <v>South</v>
      </c>
      <c r="G58" s="28" t="n">
        <f aca="false">B58+INDEX(Setup!$C$13:$C$26,MATCH(C58,Setup!$A$13:$A$26,0))</f>
        <v>46154</v>
      </c>
      <c r="H58" s="29" t="n">
        <f aca="false">SUMIFS(Collections!$E$6:$E$2000,Collections!$C$6:$C$2000,A58)</f>
        <v>177297</v>
      </c>
      <c r="I58" s="44" t="n">
        <f aca="false">E58-H58</f>
        <v>0</v>
      </c>
      <c r="J58" s="31" t="str">
        <f aca="false">IF(I58&gt;Setup!$B$9,Setup!$B$5-G58,"")</f>
        <v/>
      </c>
      <c r="K58" s="8" t="str">
        <f aca="false">IF(I58&lt;=Setup!$B$9,"Settled",IF(J58&lt;=0,"Not yet due",IF(J58&lt;=30,"1-30 days",IF(J58&lt;=60,"31-60 days",IF(J58&lt;=90,"61-90 days","Over 90 days")))))</f>
        <v>Settled</v>
      </c>
    </row>
    <row r="59" customFormat="false" ht="15" hidden="false" customHeight="false" outlineLevel="0" collapsed="false">
      <c r="A59" s="5" t="s">
        <v>176</v>
      </c>
      <c r="B59" s="41" t="n">
        <v>46124</v>
      </c>
      <c r="C59" s="5" t="s">
        <v>94</v>
      </c>
      <c r="D59" s="5" t="s">
        <v>128</v>
      </c>
      <c r="E59" s="43" t="n">
        <v>361682</v>
      </c>
      <c r="F59" s="27" t="str">
        <f aca="false">INDEX(Setup!$B$13:$B$26,MATCH(C59,Setup!$A$13:$A$26,0))</f>
        <v>West</v>
      </c>
      <c r="G59" s="28" t="n">
        <f aca="false">B59+INDEX(Setup!$C$13:$C$26,MATCH(C59,Setup!$A$13:$A$26,0))</f>
        <v>46154</v>
      </c>
      <c r="H59" s="29" t="n">
        <f aca="false">SUMIFS(Collections!$E$6:$E$2000,Collections!$C$6:$C$2000,A59)</f>
        <v>361682</v>
      </c>
      <c r="I59" s="44" t="n">
        <f aca="false">E59-H59</f>
        <v>0</v>
      </c>
      <c r="J59" s="31" t="str">
        <f aca="false">IF(I59&gt;Setup!$B$9,Setup!$B$5-G59,"")</f>
        <v/>
      </c>
      <c r="K59" s="8" t="str">
        <f aca="false">IF(I59&lt;=Setup!$B$9,"Settled",IF(J59&lt;=0,"Not yet due",IF(J59&lt;=30,"1-30 days",IF(J59&lt;=60,"31-60 days",IF(J59&lt;=90,"61-90 days","Over 90 days")))))</f>
        <v>Settled</v>
      </c>
    </row>
    <row r="60" customFormat="false" ht="15" hidden="false" customHeight="false" outlineLevel="0" collapsed="false">
      <c r="A60" s="5" t="s">
        <v>177</v>
      </c>
      <c r="B60" s="41" t="n">
        <v>46125</v>
      </c>
      <c r="C60" s="5" t="s">
        <v>90</v>
      </c>
      <c r="D60" s="5" t="s">
        <v>122</v>
      </c>
      <c r="E60" s="43" t="n">
        <v>321987</v>
      </c>
      <c r="F60" s="27" t="str">
        <f aca="false">INDEX(Setup!$B$13:$B$26,MATCH(C60,Setup!$A$13:$A$26,0))</f>
        <v>East</v>
      </c>
      <c r="G60" s="28" t="n">
        <f aca="false">B60+INDEX(Setup!$C$13:$C$26,MATCH(C60,Setup!$A$13:$A$26,0))</f>
        <v>46155</v>
      </c>
      <c r="H60" s="29" t="n">
        <f aca="false">SUMIFS(Collections!$E$6:$E$2000,Collections!$C$6:$C$2000,A60)</f>
        <v>321987</v>
      </c>
      <c r="I60" s="44" t="n">
        <f aca="false">E60-H60</f>
        <v>0</v>
      </c>
      <c r="J60" s="31" t="str">
        <f aca="false">IF(I60&gt;Setup!$B$9,Setup!$B$5-G60,"")</f>
        <v/>
      </c>
      <c r="K60" s="8" t="str">
        <f aca="false">IF(I60&lt;=Setup!$B$9,"Settled",IF(J60&lt;=0,"Not yet due",IF(J60&lt;=30,"1-30 days",IF(J60&lt;=60,"31-60 days",IF(J60&lt;=90,"61-90 days","Over 90 days")))))</f>
        <v>Settled</v>
      </c>
    </row>
    <row r="61" customFormat="false" ht="15" hidden="false" customHeight="false" outlineLevel="0" collapsed="false">
      <c r="A61" s="5" t="s">
        <v>178</v>
      </c>
      <c r="B61" s="41" t="n">
        <v>46125</v>
      </c>
      <c r="C61" s="5" t="s">
        <v>100</v>
      </c>
      <c r="D61" s="5" t="s">
        <v>128</v>
      </c>
      <c r="E61" s="43" t="n">
        <v>557656</v>
      </c>
      <c r="F61" s="27" t="str">
        <f aca="false">INDEX(Setup!$B$13:$B$26,MATCH(C61,Setup!$A$13:$A$26,0))</f>
        <v>North</v>
      </c>
      <c r="G61" s="28" t="n">
        <f aca="false">B61+INDEX(Setup!$C$13:$C$26,MATCH(C61,Setup!$A$13:$A$26,0))</f>
        <v>46155</v>
      </c>
      <c r="H61" s="29" t="n">
        <f aca="false">SUMIFS(Collections!$E$6:$E$2000,Collections!$C$6:$C$2000,A61)</f>
        <v>557656</v>
      </c>
      <c r="I61" s="44" t="n">
        <f aca="false">E61-H61</f>
        <v>0</v>
      </c>
      <c r="J61" s="31" t="str">
        <f aca="false">IF(I61&gt;Setup!$B$9,Setup!$B$5-G61,"")</f>
        <v/>
      </c>
      <c r="K61" s="8" t="str">
        <f aca="false">IF(I61&lt;=Setup!$B$9,"Settled",IF(J61&lt;=0,"Not yet due",IF(J61&lt;=30,"1-30 days",IF(J61&lt;=60,"31-60 days",IF(J61&lt;=90,"61-90 days","Over 90 days")))))</f>
        <v>Settled</v>
      </c>
    </row>
    <row r="62" customFormat="false" ht="15" hidden="false" customHeight="false" outlineLevel="0" collapsed="false">
      <c r="A62" s="5" t="s">
        <v>179</v>
      </c>
      <c r="B62" s="41" t="n">
        <v>46126</v>
      </c>
      <c r="C62" s="5" t="s">
        <v>105</v>
      </c>
      <c r="D62" s="5" t="s">
        <v>122</v>
      </c>
      <c r="E62" s="43" t="n">
        <v>116883</v>
      </c>
      <c r="F62" s="27" t="str">
        <f aca="false">INDEX(Setup!$B$13:$B$26,MATCH(C62,Setup!$A$13:$A$26,0))</f>
        <v>South</v>
      </c>
      <c r="G62" s="28" t="n">
        <f aca="false">B62+INDEX(Setup!$C$13:$C$26,MATCH(C62,Setup!$A$13:$A$26,0))</f>
        <v>46156</v>
      </c>
      <c r="H62" s="29" t="n">
        <f aca="false">SUMIFS(Collections!$E$6:$E$2000,Collections!$C$6:$C$2000,A62)</f>
        <v>116883</v>
      </c>
      <c r="I62" s="44" t="n">
        <f aca="false">E62-H62</f>
        <v>0</v>
      </c>
      <c r="J62" s="31" t="str">
        <f aca="false">IF(I62&gt;Setup!$B$9,Setup!$B$5-G62,"")</f>
        <v/>
      </c>
      <c r="K62" s="8" t="str">
        <f aca="false">IF(I62&lt;=Setup!$B$9,"Settled",IF(J62&lt;=0,"Not yet due",IF(J62&lt;=30,"1-30 days",IF(J62&lt;=60,"31-60 days",IF(J62&lt;=90,"61-90 days","Over 90 days")))))</f>
        <v>Settled</v>
      </c>
    </row>
    <row r="63" customFormat="false" ht="15" hidden="false" customHeight="false" outlineLevel="0" collapsed="false">
      <c r="A63" s="5" t="s">
        <v>180</v>
      </c>
      <c r="B63" s="41" t="n">
        <v>46128</v>
      </c>
      <c r="C63" s="5" t="s">
        <v>107</v>
      </c>
      <c r="D63" s="5" t="s">
        <v>133</v>
      </c>
      <c r="E63" s="43" t="n">
        <v>436376</v>
      </c>
      <c r="F63" s="27" t="str">
        <f aca="false">INDEX(Setup!$B$13:$B$26,MATCH(C63,Setup!$A$13:$A$26,0))</f>
        <v>South</v>
      </c>
      <c r="G63" s="28" t="n">
        <f aca="false">B63+INDEX(Setup!$C$13:$C$26,MATCH(C63,Setup!$A$13:$A$26,0))</f>
        <v>46158</v>
      </c>
      <c r="H63" s="29" t="n">
        <f aca="false">SUMIFS(Collections!$E$6:$E$2000,Collections!$C$6:$C$2000,A63)</f>
        <v>436376</v>
      </c>
      <c r="I63" s="44" t="n">
        <f aca="false">E63-H63</f>
        <v>0</v>
      </c>
      <c r="J63" s="31" t="str">
        <f aca="false">IF(I63&gt;Setup!$B$9,Setup!$B$5-G63,"")</f>
        <v/>
      </c>
      <c r="K63" s="8" t="str">
        <f aca="false">IF(I63&lt;=Setup!$B$9,"Settled",IF(J63&lt;=0,"Not yet due",IF(J63&lt;=30,"1-30 days",IF(J63&lt;=60,"31-60 days",IF(J63&lt;=90,"61-90 days","Over 90 days")))))</f>
        <v>Settled</v>
      </c>
    </row>
    <row r="64" customFormat="false" ht="15" hidden="false" customHeight="false" outlineLevel="0" collapsed="false">
      <c r="A64" s="5" t="s">
        <v>181</v>
      </c>
      <c r="B64" s="41" t="n">
        <v>46128</v>
      </c>
      <c r="C64" s="5" t="s">
        <v>102</v>
      </c>
      <c r="D64" s="5" t="s">
        <v>128</v>
      </c>
      <c r="E64" s="43" t="n">
        <v>142672</v>
      </c>
      <c r="F64" s="27" t="str">
        <f aca="false">INDEX(Setup!$B$13:$B$26,MATCH(C64,Setup!$A$13:$A$26,0))</f>
        <v>North</v>
      </c>
      <c r="G64" s="28" t="n">
        <f aca="false">B64+INDEX(Setup!$C$13:$C$26,MATCH(C64,Setup!$A$13:$A$26,0))</f>
        <v>46158</v>
      </c>
      <c r="H64" s="29" t="n">
        <f aca="false">SUMIFS(Collections!$E$6:$E$2000,Collections!$C$6:$C$2000,A64)</f>
        <v>142672</v>
      </c>
      <c r="I64" s="44" t="n">
        <f aca="false">E64-H64</f>
        <v>0</v>
      </c>
      <c r="J64" s="31" t="str">
        <f aca="false">IF(I64&gt;Setup!$B$9,Setup!$B$5-G64,"")</f>
        <v/>
      </c>
      <c r="K64" s="8" t="str">
        <f aca="false">IF(I64&lt;=Setup!$B$9,"Settled",IF(J64&lt;=0,"Not yet due",IF(J64&lt;=30,"1-30 days",IF(J64&lt;=60,"31-60 days",IF(J64&lt;=90,"61-90 days","Over 90 days")))))</f>
        <v>Settled</v>
      </c>
    </row>
    <row r="65" customFormat="false" ht="15" hidden="false" customHeight="false" outlineLevel="0" collapsed="false">
      <c r="A65" s="5" t="s">
        <v>182</v>
      </c>
      <c r="B65" s="41" t="n">
        <v>46129</v>
      </c>
      <c r="C65" s="5" t="s">
        <v>105</v>
      </c>
      <c r="D65" s="5" t="s">
        <v>122</v>
      </c>
      <c r="E65" s="43" t="n">
        <v>489018</v>
      </c>
      <c r="F65" s="27" t="str">
        <f aca="false">INDEX(Setup!$B$13:$B$26,MATCH(C65,Setup!$A$13:$A$26,0))</f>
        <v>South</v>
      </c>
      <c r="G65" s="28" t="n">
        <f aca="false">B65+INDEX(Setup!$C$13:$C$26,MATCH(C65,Setup!$A$13:$A$26,0))</f>
        <v>46159</v>
      </c>
      <c r="H65" s="29" t="n">
        <f aca="false">SUMIFS(Collections!$E$6:$E$2000,Collections!$C$6:$C$2000,A65)</f>
        <v>489018</v>
      </c>
      <c r="I65" s="44" t="n">
        <f aca="false">E65-H65</f>
        <v>0</v>
      </c>
      <c r="J65" s="31" t="str">
        <f aca="false">IF(I65&gt;Setup!$B$9,Setup!$B$5-G65,"")</f>
        <v/>
      </c>
      <c r="K65" s="8" t="str">
        <f aca="false">IF(I65&lt;=Setup!$B$9,"Settled",IF(J65&lt;=0,"Not yet due",IF(J65&lt;=30,"1-30 days",IF(J65&lt;=60,"31-60 days",IF(J65&lt;=90,"61-90 days","Over 90 days")))))</f>
        <v>Settled</v>
      </c>
    </row>
    <row r="66" customFormat="false" ht="15" hidden="false" customHeight="false" outlineLevel="0" collapsed="false">
      <c r="A66" s="5" t="s">
        <v>183</v>
      </c>
      <c r="B66" s="41" t="n">
        <v>46130</v>
      </c>
      <c r="C66" s="5" t="s">
        <v>102</v>
      </c>
      <c r="D66" s="5" t="s">
        <v>133</v>
      </c>
      <c r="E66" s="43" t="n">
        <v>375805</v>
      </c>
      <c r="F66" s="27" t="str">
        <f aca="false">INDEX(Setup!$B$13:$B$26,MATCH(C66,Setup!$A$13:$A$26,0))</f>
        <v>North</v>
      </c>
      <c r="G66" s="28" t="n">
        <f aca="false">B66+INDEX(Setup!$C$13:$C$26,MATCH(C66,Setup!$A$13:$A$26,0))</f>
        <v>46160</v>
      </c>
      <c r="H66" s="29" t="n">
        <f aca="false">SUMIFS(Collections!$E$6:$E$2000,Collections!$C$6:$C$2000,A66)</f>
        <v>375805</v>
      </c>
      <c r="I66" s="44" t="n">
        <f aca="false">E66-H66</f>
        <v>0</v>
      </c>
      <c r="J66" s="31" t="str">
        <f aca="false">IF(I66&gt;Setup!$B$9,Setup!$B$5-G66,"")</f>
        <v/>
      </c>
      <c r="K66" s="8" t="str">
        <f aca="false">IF(I66&lt;=Setup!$B$9,"Settled",IF(J66&lt;=0,"Not yet due",IF(J66&lt;=30,"1-30 days",IF(J66&lt;=60,"31-60 days",IF(J66&lt;=90,"61-90 days","Over 90 days")))))</f>
        <v>Settled</v>
      </c>
    </row>
    <row r="67" customFormat="false" ht="15" hidden="false" customHeight="false" outlineLevel="0" collapsed="false">
      <c r="A67" s="5" t="s">
        <v>184</v>
      </c>
      <c r="B67" s="41" t="n">
        <v>46130</v>
      </c>
      <c r="C67" s="5" t="s">
        <v>103</v>
      </c>
      <c r="D67" s="5" t="s">
        <v>133</v>
      </c>
      <c r="E67" s="43" t="n">
        <v>141257</v>
      </c>
      <c r="F67" s="27" t="str">
        <f aca="false">INDEX(Setup!$B$13:$B$26,MATCH(C67,Setup!$A$13:$A$26,0))</f>
        <v>North</v>
      </c>
      <c r="G67" s="28" t="n">
        <f aca="false">B67+INDEX(Setup!$C$13:$C$26,MATCH(C67,Setup!$A$13:$A$26,0))</f>
        <v>46160</v>
      </c>
      <c r="H67" s="29" t="n">
        <f aca="false">SUMIFS(Collections!$E$6:$E$2000,Collections!$C$6:$C$2000,A67)</f>
        <v>141257</v>
      </c>
      <c r="I67" s="44" t="n">
        <f aca="false">E67-H67</f>
        <v>0</v>
      </c>
      <c r="J67" s="31" t="str">
        <f aca="false">IF(I67&gt;Setup!$B$9,Setup!$B$5-G67,"")</f>
        <v/>
      </c>
      <c r="K67" s="8" t="str">
        <f aca="false">IF(I67&lt;=Setup!$B$9,"Settled",IF(J67&lt;=0,"Not yet due",IF(J67&lt;=30,"1-30 days",IF(J67&lt;=60,"31-60 days",IF(J67&lt;=90,"61-90 days","Over 90 days")))))</f>
        <v>Settled</v>
      </c>
    </row>
    <row r="68" customFormat="false" ht="15" hidden="false" customHeight="false" outlineLevel="0" collapsed="false">
      <c r="A68" s="5" t="s">
        <v>185</v>
      </c>
      <c r="B68" s="41" t="n">
        <v>46131</v>
      </c>
      <c r="C68" s="5" t="s">
        <v>94</v>
      </c>
      <c r="D68" s="5" t="s">
        <v>128</v>
      </c>
      <c r="E68" s="43" t="n">
        <v>581952</v>
      </c>
      <c r="F68" s="27" t="str">
        <f aca="false">INDEX(Setup!$B$13:$B$26,MATCH(C68,Setup!$A$13:$A$26,0))</f>
        <v>West</v>
      </c>
      <c r="G68" s="28" t="n">
        <f aca="false">B68+INDEX(Setup!$C$13:$C$26,MATCH(C68,Setup!$A$13:$A$26,0))</f>
        <v>46161</v>
      </c>
      <c r="H68" s="29" t="n">
        <f aca="false">SUMIFS(Collections!$E$6:$E$2000,Collections!$C$6:$C$2000,A68)</f>
        <v>581952</v>
      </c>
      <c r="I68" s="44" t="n">
        <f aca="false">E68-H68</f>
        <v>0</v>
      </c>
      <c r="J68" s="31" t="str">
        <f aca="false">IF(I68&gt;Setup!$B$9,Setup!$B$5-G68,"")</f>
        <v/>
      </c>
      <c r="K68" s="8" t="str">
        <f aca="false">IF(I68&lt;=Setup!$B$9,"Settled",IF(J68&lt;=0,"Not yet due",IF(J68&lt;=30,"1-30 days",IF(J68&lt;=60,"31-60 days",IF(J68&lt;=90,"61-90 days","Over 90 days")))))</f>
        <v>Settled</v>
      </c>
    </row>
    <row r="69" customFormat="false" ht="15" hidden="false" customHeight="false" outlineLevel="0" collapsed="false">
      <c r="A69" s="5" t="s">
        <v>186</v>
      </c>
      <c r="B69" s="41" t="n">
        <v>46131</v>
      </c>
      <c r="C69" s="5" t="s">
        <v>103</v>
      </c>
      <c r="D69" s="5" t="s">
        <v>122</v>
      </c>
      <c r="E69" s="43" t="n">
        <v>194490</v>
      </c>
      <c r="F69" s="27" t="str">
        <f aca="false">INDEX(Setup!$B$13:$B$26,MATCH(C69,Setup!$A$13:$A$26,0))</f>
        <v>North</v>
      </c>
      <c r="G69" s="28" t="n">
        <f aca="false">B69+INDEX(Setup!$C$13:$C$26,MATCH(C69,Setup!$A$13:$A$26,0))</f>
        <v>46161</v>
      </c>
      <c r="H69" s="29" t="n">
        <f aca="false">SUMIFS(Collections!$E$6:$E$2000,Collections!$C$6:$C$2000,A69)</f>
        <v>194490</v>
      </c>
      <c r="I69" s="44" t="n">
        <f aca="false">E69-H69</f>
        <v>0</v>
      </c>
      <c r="J69" s="31" t="str">
        <f aca="false">IF(I69&gt;Setup!$B$9,Setup!$B$5-G69,"")</f>
        <v/>
      </c>
      <c r="K69" s="8" t="str">
        <f aca="false">IF(I69&lt;=Setup!$B$9,"Settled",IF(J69&lt;=0,"Not yet due",IF(J69&lt;=30,"1-30 days",IF(J69&lt;=60,"31-60 days",IF(J69&lt;=90,"61-90 days","Over 90 days")))))</f>
        <v>Settled</v>
      </c>
    </row>
    <row r="70" customFormat="false" ht="15" hidden="false" customHeight="false" outlineLevel="0" collapsed="false">
      <c r="A70" s="5" t="s">
        <v>187</v>
      </c>
      <c r="B70" s="41" t="n">
        <v>46132</v>
      </c>
      <c r="C70" s="5" t="s">
        <v>108</v>
      </c>
      <c r="D70" s="5" t="s">
        <v>122</v>
      </c>
      <c r="E70" s="43" t="n">
        <v>169621</v>
      </c>
      <c r="F70" s="27" t="str">
        <f aca="false">INDEX(Setup!$B$13:$B$26,MATCH(C70,Setup!$A$13:$A$26,0))</f>
        <v>South</v>
      </c>
      <c r="G70" s="28" t="n">
        <f aca="false">B70+INDEX(Setup!$C$13:$C$26,MATCH(C70,Setup!$A$13:$A$26,0))</f>
        <v>46162</v>
      </c>
      <c r="H70" s="29" t="n">
        <f aca="false">SUMIFS(Collections!$E$6:$E$2000,Collections!$C$6:$C$2000,A70)</f>
        <v>169621</v>
      </c>
      <c r="I70" s="44" t="n">
        <f aca="false">E70-H70</f>
        <v>0</v>
      </c>
      <c r="J70" s="31" t="str">
        <f aca="false">IF(I70&gt;Setup!$B$9,Setup!$B$5-G70,"")</f>
        <v/>
      </c>
      <c r="K70" s="8" t="str">
        <f aca="false">IF(I70&lt;=Setup!$B$9,"Settled",IF(J70&lt;=0,"Not yet due",IF(J70&lt;=30,"1-30 days",IF(J70&lt;=60,"31-60 days",IF(J70&lt;=90,"61-90 days","Over 90 days")))))</f>
        <v>Settled</v>
      </c>
    </row>
    <row r="71" customFormat="false" ht="15" hidden="false" customHeight="false" outlineLevel="0" collapsed="false">
      <c r="A71" s="5" t="s">
        <v>188</v>
      </c>
      <c r="B71" s="41" t="n">
        <v>46133</v>
      </c>
      <c r="C71" s="5" t="s">
        <v>94</v>
      </c>
      <c r="D71" s="5" t="s">
        <v>133</v>
      </c>
      <c r="E71" s="43" t="n">
        <v>563733</v>
      </c>
      <c r="F71" s="27" t="str">
        <f aca="false">INDEX(Setup!$B$13:$B$26,MATCH(C71,Setup!$A$13:$A$26,0))</f>
        <v>West</v>
      </c>
      <c r="G71" s="28" t="n">
        <f aca="false">B71+INDEX(Setup!$C$13:$C$26,MATCH(C71,Setup!$A$13:$A$26,0))</f>
        <v>46163</v>
      </c>
      <c r="H71" s="29" t="n">
        <f aca="false">SUMIFS(Collections!$E$6:$E$2000,Collections!$C$6:$C$2000,A71)</f>
        <v>563733</v>
      </c>
      <c r="I71" s="44" t="n">
        <f aca="false">E71-H71</f>
        <v>0</v>
      </c>
      <c r="J71" s="31" t="str">
        <f aca="false">IF(I71&gt;Setup!$B$9,Setup!$B$5-G71,"")</f>
        <v/>
      </c>
      <c r="K71" s="8" t="str">
        <f aca="false">IF(I71&lt;=Setup!$B$9,"Settled",IF(J71&lt;=0,"Not yet due",IF(J71&lt;=30,"1-30 days",IF(J71&lt;=60,"31-60 days",IF(J71&lt;=90,"61-90 days","Over 90 days")))))</f>
        <v>Settled</v>
      </c>
    </row>
    <row r="72" customFormat="false" ht="15" hidden="false" customHeight="false" outlineLevel="0" collapsed="false">
      <c r="A72" s="5" t="s">
        <v>189</v>
      </c>
      <c r="B72" s="41" t="n">
        <v>46133</v>
      </c>
      <c r="C72" s="5" t="s">
        <v>97</v>
      </c>
      <c r="D72" s="5" t="s">
        <v>133</v>
      </c>
      <c r="E72" s="43" t="n">
        <v>380559</v>
      </c>
      <c r="F72" s="27" t="str">
        <f aca="false">INDEX(Setup!$B$13:$B$26,MATCH(C72,Setup!$A$13:$A$26,0))</f>
        <v>West</v>
      </c>
      <c r="G72" s="28" t="n">
        <f aca="false">B72+INDEX(Setup!$C$13:$C$26,MATCH(C72,Setup!$A$13:$A$26,0))</f>
        <v>46163</v>
      </c>
      <c r="H72" s="29" t="n">
        <f aca="false">SUMIFS(Collections!$E$6:$E$2000,Collections!$C$6:$C$2000,A72)</f>
        <v>380559</v>
      </c>
      <c r="I72" s="44" t="n">
        <f aca="false">E72-H72</f>
        <v>0</v>
      </c>
      <c r="J72" s="31" t="str">
        <f aca="false">IF(I72&gt;Setup!$B$9,Setup!$B$5-G72,"")</f>
        <v/>
      </c>
      <c r="K72" s="8" t="str">
        <f aca="false">IF(I72&lt;=Setup!$B$9,"Settled",IF(J72&lt;=0,"Not yet due",IF(J72&lt;=30,"1-30 days",IF(J72&lt;=60,"31-60 days",IF(J72&lt;=90,"61-90 days","Over 90 days")))))</f>
        <v>Settled</v>
      </c>
    </row>
    <row r="73" customFormat="false" ht="15" hidden="false" customHeight="false" outlineLevel="0" collapsed="false">
      <c r="A73" s="5" t="s">
        <v>190</v>
      </c>
      <c r="B73" s="41" t="n">
        <v>46133</v>
      </c>
      <c r="C73" s="5" t="s">
        <v>90</v>
      </c>
      <c r="D73" s="5" t="s">
        <v>128</v>
      </c>
      <c r="E73" s="43" t="n">
        <v>151544</v>
      </c>
      <c r="F73" s="27" t="str">
        <f aca="false">INDEX(Setup!$B$13:$B$26,MATCH(C73,Setup!$A$13:$A$26,0))</f>
        <v>East</v>
      </c>
      <c r="G73" s="28" t="n">
        <f aca="false">B73+INDEX(Setup!$C$13:$C$26,MATCH(C73,Setup!$A$13:$A$26,0))</f>
        <v>46163</v>
      </c>
      <c r="H73" s="29" t="n">
        <f aca="false">SUMIFS(Collections!$E$6:$E$2000,Collections!$C$6:$C$2000,A73)</f>
        <v>151544</v>
      </c>
      <c r="I73" s="44" t="n">
        <f aca="false">E73-H73</f>
        <v>0</v>
      </c>
      <c r="J73" s="31" t="str">
        <f aca="false">IF(I73&gt;Setup!$B$9,Setup!$B$5-G73,"")</f>
        <v/>
      </c>
      <c r="K73" s="8" t="str">
        <f aca="false">IF(I73&lt;=Setup!$B$9,"Settled",IF(J73&lt;=0,"Not yet due",IF(J73&lt;=30,"1-30 days",IF(J73&lt;=60,"31-60 days",IF(J73&lt;=90,"61-90 days","Over 90 days")))))</f>
        <v>Settled</v>
      </c>
    </row>
    <row r="74" customFormat="false" ht="15" hidden="false" customHeight="false" outlineLevel="0" collapsed="false">
      <c r="A74" s="5" t="s">
        <v>191</v>
      </c>
      <c r="B74" s="41" t="n">
        <v>46133</v>
      </c>
      <c r="C74" s="5" t="s">
        <v>105</v>
      </c>
      <c r="D74" s="5" t="s">
        <v>133</v>
      </c>
      <c r="E74" s="43" t="n">
        <v>232774</v>
      </c>
      <c r="F74" s="27" t="str">
        <f aca="false">INDEX(Setup!$B$13:$B$26,MATCH(C74,Setup!$A$13:$A$26,0))</f>
        <v>South</v>
      </c>
      <c r="G74" s="28" t="n">
        <f aca="false">B74+INDEX(Setup!$C$13:$C$26,MATCH(C74,Setup!$A$13:$A$26,0))</f>
        <v>46163</v>
      </c>
      <c r="H74" s="29" t="n">
        <f aca="false">SUMIFS(Collections!$E$6:$E$2000,Collections!$C$6:$C$2000,A74)</f>
        <v>232774</v>
      </c>
      <c r="I74" s="44" t="n">
        <f aca="false">E74-H74</f>
        <v>0</v>
      </c>
      <c r="J74" s="31" t="str">
        <f aca="false">IF(I74&gt;Setup!$B$9,Setup!$B$5-G74,"")</f>
        <v/>
      </c>
      <c r="K74" s="8" t="str">
        <f aca="false">IF(I74&lt;=Setup!$B$9,"Settled",IF(J74&lt;=0,"Not yet due",IF(J74&lt;=30,"1-30 days",IF(J74&lt;=60,"31-60 days",IF(J74&lt;=90,"61-90 days","Over 90 days")))))</f>
        <v>Settled</v>
      </c>
    </row>
    <row r="75" customFormat="false" ht="15" hidden="false" customHeight="false" outlineLevel="0" collapsed="false">
      <c r="A75" s="5" t="s">
        <v>192</v>
      </c>
      <c r="B75" s="41" t="n">
        <v>46135</v>
      </c>
      <c r="C75" s="5" t="s">
        <v>99</v>
      </c>
      <c r="D75" s="5" t="s">
        <v>122</v>
      </c>
      <c r="E75" s="43" t="n">
        <v>355158</v>
      </c>
      <c r="F75" s="27" t="str">
        <f aca="false">INDEX(Setup!$B$13:$B$26,MATCH(C75,Setup!$A$13:$A$26,0))</f>
        <v>West</v>
      </c>
      <c r="G75" s="28" t="n">
        <f aca="false">B75+INDEX(Setup!$C$13:$C$26,MATCH(C75,Setup!$A$13:$A$26,0))</f>
        <v>46180</v>
      </c>
      <c r="H75" s="29" t="n">
        <f aca="false">SUMIFS(Collections!$E$6:$E$2000,Collections!$C$6:$C$2000,A75)</f>
        <v>355158</v>
      </c>
      <c r="I75" s="44" t="n">
        <f aca="false">E75-H75</f>
        <v>0</v>
      </c>
      <c r="J75" s="31" t="str">
        <f aca="false">IF(I75&gt;Setup!$B$9,Setup!$B$5-G75,"")</f>
        <v/>
      </c>
      <c r="K75" s="8" t="str">
        <f aca="false">IF(I75&lt;=Setup!$B$9,"Settled",IF(J75&lt;=0,"Not yet due",IF(J75&lt;=30,"1-30 days",IF(J75&lt;=60,"31-60 days",IF(J75&lt;=90,"61-90 days","Over 90 days")))))</f>
        <v>Settled</v>
      </c>
    </row>
    <row r="76" customFormat="false" ht="15" hidden="false" customHeight="false" outlineLevel="0" collapsed="false">
      <c r="A76" s="5" t="s">
        <v>193</v>
      </c>
      <c r="B76" s="41" t="n">
        <v>46135</v>
      </c>
      <c r="C76" s="5" t="s">
        <v>107</v>
      </c>
      <c r="D76" s="5" t="s">
        <v>122</v>
      </c>
      <c r="E76" s="43" t="n">
        <v>239672</v>
      </c>
      <c r="F76" s="27" t="str">
        <f aca="false">INDEX(Setup!$B$13:$B$26,MATCH(C76,Setup!$A$13:$A$26,0))</f>
        <v>South</v>
      </c>
      <c r="G76" s="28" t="n">
        <f aca="false">B76+INDEX(Setup!$C$13:$C$26,MATCH(C76,Setup!$A$13:$A$26,0))</f>
        <v>46165</v>
      </c>
      <c r="H76" s="29" t="n">
        <f aca="false">SUMIFS(Collections!$E$6:$E$2000,Collections!$C$6:$C$2000,A76)</f>
        <v>239672</v>
      </c>
      <c r="I76" s="44" t="n">
        <f aca="false">E76-H76</f>
        <v>0</v>
      </c>
      <c r="J76" s="31" t="str">
        <f aca="false">IF(I76&gt;Setup!$B$9,Setup!$B$5-G76,"")</f>
        <v/>
      </c>
      <c r="K76" s="8" t="str">
        <f aca="false">IF(I76&lt;=Setup!$B$9,"Settled",IF(J76&lt;=0,"Not yet due",IF(J76&lt;=30,"1-30 days",IF(J76&lt;=60,"31-60 days",IF(J76&lt;=90,"61-90 days","Over 90 days")))))</f>
        <v>Settled</v>
      </c>
    </row>
    <row r="77" customFormat="false" ht="15" hidden="false" customHeight="false" outlineLevel="0" collapsed="false">
      <c r="A77" s="5" t="s">
        <v>194</v>
      </c>
      <c r="B77" s="41" t="n">
        <v>46136</v>
      </c>
      <c r="C77" s="5" t="s">
        <v>109</v>
      </c>
      <c r="D77" s="5" t="s">
        <v>120</v>
      </c>
      <c r="E77" s="43" t="n">
        <v>121413</v>
      </c>
      <c r="F77" s="27" t="str">
        <f aca="false">INDEX(Setup!$B$13:$B$26,MATCH(C77,Setup!$A$13:$A$26,0))</f>
        <v>South</v>
      </c>
      <c r="G77" s="28" t="n">
        <f aca="false">B77+INDEX(Setup!$C$13:$C$26,MATCH(C77,Setup!$A$13:$A$26,0))</f>
        <v>46181</v>
      </c>
      <c r="H77" s="29" t="n">
        <f aca="false">SUMIFS(Collections!$E$6:$E$2000,Collections!$C$6:$C$2000,A77)</f>
        <v>121413</v>
      </c>
      <c r="I77" s="44" t="n">
        <f aca="false">E77-H77</f>
        <v>0</v>
      </c>
      <c r="J77" s="31" t="str">
        <f aca="false">IF(I77&gt;Setup!$B$9,Setup!$B$5-G77,"")</f>
        <v/>
      </c>
      <c r="K77" s="8" t="str">
        <f aca="false">IF(I77&lt;=Setup!$B$9,"Settled",IF(J77&lt;=0,"Not yet due",IF(J77&lt;=30,"1-30 days",IF(J77&lt;=60,"31-60 days",IF(J77&lt;=90,"61-90 days","Over 90 days")))))</f>
        <v>Settled</v>
      </c>
    </row>
    <row r="78" customFormat="false" ht="15" hidden="false" customHeight="false" outlineLevel="0" collapsed="false">
      <c r="A78" s="5" t="s">
        <v>195</v>
      </c>
      <c r="B78" s="41" t="n">
        <v>46136</v>
      </c>
      <c r="C78" s="5" t="s">
        <v>103</v>
      </c>
      <c r="D78" s="5" t="s">
        <v>128</v>
      </c>
      <c r="E78" s="43" t="n">
        <v>47572</v>
      </c>
      <c r="F78" s="27" t="str">
        <f aca="false">INDEX(Setup!$B$13:$B$26,MATCH(C78,Setup!$A$13:$A$26,0))</f>
        <v>North</v>
      </c>
      <c r="G78" s="28" t="n">
        <f aca="false">B78+INDEX(Setup!$C$13:$C$26,MATCH(C78,Setup!$A$13:$A$26,0))</f>
        <v>46166</v>
      </c>
      <c r="H78" s="29" t="n">
        <f aca="false">SUMIFS(Collections!$E$6:$E$2000,Collections!$C$6:$C$2000,A78)</f>
        <v>47572</v>
      </c>
      <c r="I78" s="44" t="n">
        <f aca="false">E78-H78</f>
        <v>0</v>
      </c>
      <c r="J78" s="31" t="str">
        <f aca="false">IF(I78&gt;Setup!$B$9,Setup!$B$5-G78,"")</f>
        <v/>
      </c>
      <c r="K78" s="8" t="str">
        <f aca="false">IF(I78&lt;=Setup!$B$9,"Settled",IF(J78&lt;=0,"Not yet due",IF(J78&lt;=30,"1-30 days",IF(J78&lt;=60,"31-60 days",IF(J78&lt;=90,"61-90 days","Over 90 days")))))</f>
        <v>Settled</v>
      </c>
    </row>
    <row r="79" customFormat="false" ht="15" hidden="false" customHeight="false" outlineLevel="0" collapsed="false">
      <c r="A79" s="5" t="s">
        <v>196</v>
      </c>
      <c r="B79" s="41" t="n">
        <v>46136</v>
      </c>
      <c r="C79" s="5" t="s">
        <v>87</v>
      </c>
      <c r="D79" s="5" t="s">
        <v>128</v>
      </c>
      <c r="E79" s="43" t="n">
        <v>304058</v>
      </c>
      <c r="F79" s="27" t="str">
        <f aca="false">INDEX(Setup!$B$13:$B$26,MATCH(C79,Setup!$A$13:$A$26,0))</f>
        <v>East</v>
      </c>
      <c r="G79" s="28" t="n">
        <f aca="false">B79+INDEX(Setup!$C$13:$C$26,MATCH(C79,Setup!$A$13:$A$26,0))</f>
        <v>46166</v>
      </c>
      <c r="H79" s="29" t="n">
        <f aca="false">SUMIFS(Collections!$E$6:$E$2000,Collections!$C$6:$C$2000,A79)</f>
        <v>304058</v>
      </c>
      <c r="I79" s="44" t="n">
        <f aca="false">E79-H79</f>
        <v>0</v>
      </c>
      <c r="J79" s="31" t="str">
        <f aca="false">IF(I79&gt;Setup!$B$9,Setup!$B$5-G79,"")</f>
        <v/>
      </c>
      <c r="K79" s="8" t="str">
        <f aca="false">IF(I79&lt;=Setup!$B$9,"Settled",IF(J79&lt;=0,"Not yet due",IF(J79&lt;=30,"1-30 days",IF(J79&lt;=60,"31-60 days",IF(J79&lt;=90,"61-90 days","Over 90 days")))))</f>
        <v>Settled</v>
      </c>
    </row>
    <row r="80" customFormat="false" ht="15" hidden="false" customHeight="false" outlineLevel="0" collapsed="false">
      <c r="A80" s="5" t="s">
        <v>197</v>
      </c>
      <c r="B80" s="41" t="n">
        <v>46137</v>
      </c>
      <c r="C80" s="5" t="s">
        <v>102</v>
      </c>
      <c r="D80" s="5" t="s">
        <v>128</v>
      </c>
      <c r="E80" s="43" t="n">
        <v>414607</v>
      </c>
      <c r="F80" s="27" t="str">
        <f aca="false">INDEX(Setup!$B$13:$B$26,MATCH(C80,Setup!$A$13:$A$26,0))</f>
        <v>North</v>
      </c>
      <c r="G80" s="28" t="n">
        <f aca="false">B80+INDEX(Setup!$C$13:$C$26,MATCH(C80,Setup!$A$13:$A$26,0))</f>
        <v>46167</v>
      </c>
      <c r="H80" s="29" t="n">
        <f aca="false">SUMIFS(Collections!$E$6:$E$2000,Collections!$C$6:$C$2000,A80)</f>
        <v>414607</v>
      </c>
      <c r="I80" s="44" t="n">
        <f aca="false">E80-H80</f>
        <v>0</v>
      </c>
      <c r="J80" s="31" t="str">
        <f aca="false">IF(I80&gt;Setup!$B$9,Setup!$B$5-G80,"")</f>
        <v/>
      </c>
      <c r="K80" s="8" t="str">
        <f aca="false">IF(I80&lt;=Setup!$B$9,"Settled",IF(J80&lt;=0,"Not yet due",IF(J80&lt;=30,"1-30 days",IF(J80&lt;=60,"31-60 days",IF(J80&lt;=90,"61-90 days","Over 90 days")))))</f>
        <v>Settled</v>
      </c>
    </row>
    <row r="81" customFormat="false" ht="15" hidden="false" customHeight="false" outlineLevel="0" collapsed="false">
      <c r="A81" s="5" t="s">
        <v>198</v>
      </c>
      <c r="B81" s="41" t="n">
        <v>46138</v>
      </c>
      <c r="C81" s="5" t="s">
        <v>107</v>
      </c>
      <c r="D81" s="5" t="s">
        <v>128</v>
      </c>
      <c r="E81" s="43" t="n">
        <v>113653</v>
      </c>
      <c r="F81" s="27" t="str">
        <f aca="false">INDEX(Setup!$B$13:$B$26,MATCH(C81,Setup!$A$13:$A$26,0))</f>
        <v>South</v>
      </c>
      <c r="G81" s="28" t="n">
        <f aca="false">B81+INDEX(Setup!$C$13:$C$26,MATCH(C81,Setup!$A$13:$A$26,0))</f>
        <v>46168</v>
      </c>
      <c r="H81" s="29" t="n">
        <f aca="false">SUMIFS(Collections!$E$6:$E$2000,Collections!$C$6:$C$2000,A81)</f>
        <v>113653</v>
      </c>
      <c r="I81" s="44" t="n">
        <f aca="false">E81-H81</f>
        <v>0</v>
      </c>
      <c r="J81" s="31" t="str">
        <f aca="false">IF(I81&gt;Setup!$B$9,Setup!$B$5-G81,"")</f>
        <v/>
      </c>
      <c r="K81" s="8" t="str">
        <f aca="false">IF(I81&lt;=Setup!$B$9,"Settled",IF(J81&lt;=0,"Not yet due",IF(J81&lt;=30,"1-30 days",IF(J81&lt;=60,"31-60 days",IF(J81&lt;=90,"61-90 days","Over 90 days")))))</f>
        <v>Settled</v>
      </c>
    </row>
    <row r="82" customFormat="false" ht="15" hidden="false" customHeight="false" outlineLevel="0" collapsed="false">
      <c r="A82" s="5" t="s">
        <v>199</v>
      </c>
      <c r="B82" s="41" t="n">
        <v>46139</v>
      </c>
      <c r="C82" s="5" t="s">
        <v>90</v>
      </c>
      <c r="D82" s="5" t="s">
        <v>122</v>
      </c>
      <c r="E82" s="43" t="n">
        <v>232164</v>
      </c>
      <c r="F82" s="27" t="str">
        <f aca="false">INDEX(Setup!$B$13:$B$26,MATCH(C82,Setup!$A$13:$A$26,0))</f>
        <v>East</v>
      </c>
      <c r="G82" s="28" t="n">
        <f aca="false">B82+INDEX(Setup!$C$13:$C$26,MATCH(C82,Setup!$A$13:$A$26,0))</f>
        <v>46169</v>
      </c>
      <c r="H82" s="29" t="n">
        <f aca="false">SUMIFS(Collections!$E$6:$E$2000,Collections!$C$6:$C$2000,A82)</f>
        <v>232164</v>
      </c>
      <c r="I82" s="44" t="n">
        <f aca="false">E82-H82</f>
        <v>0</v>
      </c>
      <c r="J82" s="31" t="str">
        <f aca="false">IF(I82&gt;Setup!$B$9,Setup!$B$5-G82,"")</f>
        <v/>
      </c>
      <c r="K82" s="8" t="str">
        <f aca="false">IF(I82&lt;=Setup!$B$9,"Settled",IF(J82&lt;=0,"Not yet due",IF(J82&lt;=30,"1-30 days",IF(J82&lt;=60,"31-60 days",IF(J82&lt;=90,"61-90 days","Over 90 days")))))</f>
        <v>Settled</v>
      </c>
    </row>
    <row r="83" customFormat="false" ht="15" hidden="false" customHeight="false" outlineLevel="0" collapsed="false">
      <c r="A83" s="5" t="s">
        <v>200</v>
      </c>
      <c r="B83" s="41" t="n">
        <v>46140</v>
      </c>
      <c r="C83" s="5" t="s">
        <v>109</v>
      </c>
      <c r="D83" s="5" t="s">
        <v>122</v>
      </c>
      <c r="E83" s="43" t="n">
        <v>120297</v>
      </c>
      <c r="F83" s="27" t="str">
        <f aca="false">INDEX(Setup!$B$13:$B$26,MATCH(C83,Setup!$A$13:$A$26,0))</f>
        <v>South</v>
      </c>
      <c r="G83" s="28" t="n">
        <f aca="false">B83+INDEX(Setup!$C$13:$C$26,MATCH(C83,Setup!$A$13:$A$26,0))</f>
        <v>46185</v>
      </c>
      <c r="H83" s="29" t="n">
        <f aca="false">SUMIFS(Collections!$E$6:$E$2000,Collections!$C$6:$C$2000,A83)</f>
        <v>120297</v>
      </c>
      <c r="I83" s="44" t="n">
        <f aca="false">E83-H83</f>
        <v>0</v>
      </c>
      <c r="J83" s="31" t="str">
        <f aca="false">IF(I83&gt;Setup!$B$9,Setup!$B$5-G83,"")</f>
        <v/>
      </c>
      <c r="K83" s="8" t="str">
        <f aca="false">IF(I83&lt;=Setup!$B$9,"Settled",IF(J83&lt;=0,"Not yet due",IF(J83&lt;=30,"1-30 days",IF(J83&lt;=60,"31-60 days",IF(J83&lt;=90,"61-90 days","Over 90 days")))))</f>
        <v>Settled</v>
      </c>
    </row>
    <row r="84" customFormat="false" ht="15" hidden="false" customHeight="false" outlineLevel="0" collapsed="false">
      <c r="A84" s="5" t="s">
        <v>201</v>
      </c>
      <c r="B84" s="41" t="n">
        <v>46140</v>
      </c>
      <c r="C84" s="5" t="s">
        <v>108</v>
      </c>
      <c r="D84" s="5" t="s">
        <v>122</v>
      </c>
      <c r="E84" s="43" t="n">
        <v>454559</v>
      </c>
      <c r="F84" s="27" t="str">
        <f aca="false">INDEX(Setup!$B$13:$B$26,MATCH(C84,Setup!$A$13:$A$26,0))</f>
        <v>South</v>
      </c>
      <c r="G84" s="28" t="n">
        <f aca="false">B84+INDEX(Setup!$C$13:$C$26,MATCH(C84,Setup!$A$13:$A$26,0))</f>
        <v>46170</v>
      </c>
      <c r="H84" s="29" t="n">
        <f aca="false">SUMIFS(Collections!$E$6:$E$2000,Collections!$C$6:$C$2000,A84)</f>
        <v>454559</v>
      </c>
      <c r="I84" s="44" t="n">
        <f aca="false">E84-H84</f>
        <v>0</v>
      </c>
      <c r="J84" s="31" t="str">
        <f aca="false">IF(I84&gt;Setup!$B$9,Setup!$B$5-G84,"")</f>
        <v/>
      </c>
      <c r="K84" s="8" t="str">
        <f aca="false">IF(I84&lt;=Setup!$B$9,"Settled",IF(J84&lt;=0,"Not yet due",IF(J84&lt;=30,"1-30 days",IF(J84&lt;=60,"31-60 days",IF(J84&lt;=90,"61-90 days","Over 90 days")))))</f>
        <v>Settled</v>
      </c>
    </row>
    <row r="85" customFormat="false" ht="15" hidden="false" customHeight="false" outlineLevel="0" collapsed="false">
      <c r="A85" s="5" t="s">
        <v>202</v>
      </c>
      <c r="B85" s="41" t="n">
        <v>46142</v>
      </c>
      <c r="C85" s="5" t="s">
        <v>108</v>
      </c>
      <c r="D85" s="5" t="s">
        <v>128</v>
      </c>
      <c r="E85" s="43" t="n">
        <v>116143</v>
      </c>
      <c r="F85" s="27" t="str">
        <f aca="false">INDEX(Setup!$B$13:$B$26,MATCH(C85,Setup!$A$13:$A$26,0))</f>
        <v>South</v>
      </c>
      <c r="G85" s="28" t="n">
        <f aca="false">B85+INDEX(Setup!$C$13:$C$26,MATCH(C85,Setup!$A$13:$A$26,0))</f>
        <v>46172</v>
      </c>
      <c r="H85" s="29" t="n">
        <f aca="false">SUMIFS(Collections!$E$6:$E$2000,Collections!$C$6:$C$2000,A85)</f>
        <v>116143</v>
      </c>
      <c r="I85" s="44" t="n">
        <f aca="false">E85-H85</f>
        <v>0</v>
      </c>
      <c r="J85" s="31" t="str">
        <f aca="false">IF(I85&gt;Setup!$B$9,Setup!$B$5-G85,"")</f>
        <v/>
      </c>
      <c r="K85" s="8" t="str">
        <f aca="false">IF(I85&lt;=Setup!$B$9,"Settled",IF(J85&lt;=0,"Not yet due",IF(J85&lt;=30,"1-30 days",IF(J85&lt;=60,"31-60 days",IF(J85&lt;=90,"61-90 days","Over 90 days")))))</f>
        <v>Settled</v>
      </c>
    </row>
    <row r="86" customFormat="false" ht="15" hidden="false" customHeight="false" outlineLevel="0" collapsed="false">
      <c r="A86" s="5" t="s">
        <v>203</v>
      </c>
      <c r="B86" s="41" t="n">
        <v>46143</v>
      </c>
      <c r="C86" s="5" t="s">
        <v>97</v>
      </c>
      <c r="D86" s="5" t="s">
        <v>122</v>
      </c>
      <c r="E86" s="43" t="n">
        <v>134531</v>
      </c>
      <c r="F86" s="27" t="str">
        <f aca="false">INDEX(Setup!$B$13:$B$26,MATCH(C86,Setup!$A$13:$A$26,0))</f>
        <v>West</v>
      </c>
      <c r="G86" s="28" t="n">
        <f aca="false">B86+INDEX(Setup!$C$13:$C$26,MATCH(C86,Setup!$A$13:$A$26,0))</f>
        <v>46173</v>
      </c>
      <c r="H86" s="29" t="n">
        <f aca="false">SUMIFS(Collections!$E$6:$E$2000,Collections!$C$6:$C$2000,A86)</f>
        <v>134531</v>
      </c>
      <c r="I86" s="44" t="n">
        <f aca="false">E86-H86</f>
        <v>0</v>
      </c>
      <c r="J86" s="31" t="str">
        <f aca="false">IF(I86&gt;Setup!$B$9,Setup!$B$5-G86,"")</f>
        <v/>
      </c>
      <c r="K86" s="8" t="str">
        <f aca="false">IF(I86&lt;=Setup!$B$9,"Settled",IF(J86&lt;=0,"Not yet due",IF(J86&lt;=30,"1-30 days",IF(J86&lt;=60,"31-60 days",IF(J86&lt;=90,"61-90 days","Over 90 days")))))</f>
        <v>Settled</v>
      </c>
    </row>
    <row r="87" customFormat="false" ht="15" hidden="false" customHeight="false" outlineLevel="0" collapsed="false">
      <c r="A87" s="5" t="s">
        <v>204</v>
      </c>
      <c r="B87" s="41" t="n">
        <v>46145</v>
      </c>
      <c r="C87" s="5" t="s">
        <v>102</v>
      </c>
      <c r="D87" s="5" t="s">
        <v>122</v>
      </c>
      <c r="E87" s="43" t="n">
        <v>271552</v>
      </c>
      <c r="F87" s="27" t="str">
        <f aca="false">INDEX(Setup!$B$13:$B$26,MATCH(C87,Setup!$A$13:$A$26,0))</f>
        <v>North</v>
      </c>
      <c r="G87" s="28" t="n">
        <f aca="false">B87+INDEX(Setup!$C$13:$C$26,MATCH(C87,Setup!$A$13:$A$26,0))</f>
        <v>46175</v>
      </c>
      <c r="H87" s="29" t="n">
        <f aca="false">SUMIFS(Collections!$E$6:$E$2000,Collections!$C$6:$C$2000,A87)</f>
        <v>271552</v>
      </c>
      <c r="I87" s="44" t="n">
        <f aca="false">E87-H87</f>
        <v>0</v>
      </c>
      <c r="J87" s="31" t="str">
        <f aca="false">IF(I87&gt;Setup!$B$9,Setup!$B$5-G87,"")</f>
        <v/>
      </c>
      <c r="K87" s="8" t="str">
        <f aca="false">IF(I87&lt;=Setup!$B$9,"Settled",IF(J87&lt;=0,"Not yet due",IF(J87&lt;=30,"1-30 days",IF(J87&lt;=60,"31-60 days",IF(J87&lt;=90,"61-90 days","Over 90 days")))))</f>
        <v>Settled</v>
      </c>
    </row>
    <row r="88" customFormat="false" ht="15" hidden="false" customHeight="false" outlineLevel="0" collapsed="false">
      <c r="A88" s="5" t="s">
        <v>205</v>
      </c>
      <c r="B88" s="41" t="n">
        <v>46145</v>
      </c>
      <c r="C88" s="5" t="s">
        <v>107</v>
      </c>
      <c r="D88" s="5" t="s">
        <v>120</v>
      </c>
      <c r="E88" s="43" t="n">
        <v>307613</v>
      </c>
      <c r="F88" s="27" t="str">
        <f aca="false">INDEX(Setup!$B$13:$B$26,MATCH(C88,Setup!$A$13:$A$26,0))</f>
        <v>South</v>
      </c>
      <c r="G88" s="28" t="n">
        <f aca="false">B88+INDEX(Setup!$C$13:$C$26,MATCH(C88,Setup!$A$13:$A$26,0))</f>
        <v>46175</v>
      </c>
      <c r="H88" s="29" t="n">
        <f aca="false">SUMIFS(Collections!$E$6:$E$2000,Collections!$C$6:$C$2000,A88)</f>
        <v>307613</v>
      </c>
      <c r="I88" s="44" t="n">
        <f aca="false">E88-H88</f>
        <v>0</v>
      </c>
      <c r="J88" s="31" t="str">
        <f aca="false">IF(I88&gt;Setup!$B$9,Setup!$B$5-G88,"")</f>
        <v/>
      </c>
      <c r="K88" s="8" t="str">
        <f aca="false">IF(I88&lt;=Setup!$B$9,"Settled",IF(J88&lt;=0,"Not yet due",IF(J88&lt;=30,"1-30 days",IF(J88&lt;=60,"31-60 days",IF(J88&lt;=90,"61-90 days","Over 90 days")))))</f>
        <v>Settled</v>
      </c>
    </row>
    <row r="89" customFormat="false" ht="15" hidden="false" customHeight="false" outlineLevel="0" collapsed="false">
      <c r="A89" s="5" t="s">
        <v>206</v>
      </c>
      <c r="B89" s="41" t="n">
        <v>46146</v>
      </c>
      <c r="C89" s="5" t="s">
        <v>99</v>
      </c>
      <c r="D89" s="5" t="s">
        <v>120</v>
      </c>
      <c r="E89" s="43" t="n">
        <v>169429</v>
      </c>
      <c r="F89" s="27" t="str">
        <f aca="false">INDEX(Setup!$B$13:$B$26,MATCH(C89,Setup!$A$13:$A$26,0))</f>
        <v>West</v>
      </c>
      <c r="G89" s="28" t="n">
        <f aca="false">B89+INDEX(Setup!$C$13:$C$26,MATCH(C89,Setup!$A$13:$A$26,0))</f>
        <v>46191</v>
      </c>
      <c r="H89" s="29" t="n">
        <f aca="false">SUMIFS(Collections!$E$6:$E$2000,Collections!$C$6:$C$2000,A89)</f>
        <v>169429</v>
      </c>
      <c r="I89" s="44" t="n">
        <f aca="false">E89-H89</f>
        <v>0</v>
      </c>
      <c r="J89" s="31" t="str">
        <f aca="false">IF(I89&gt;Setup!$B$9,Setup!$B$5-G89,"")</f>
        <v/>
      </c>
      <c r="K89" s="8" t="str">
        <f aca="false">IF(I89&lt;=Setup!$B$9,"Settled",IF(J89&lt;=0,"Not yet due",IF(J89&lt;=30,"1-30 days",IF(J89&lt;=60,"31-60 days",IF(J89&lt;=90,"61-90 days","Over 90 days")))))</f>
        <v>Settled</v>
      </c>
    </row>
    <row r="90" customFormat="false" ht="15" hidden="false" customHeight="false" outlineLevel="0" collapsed="false">
      <c r="A90" s="5" t="s">
        <v>207</v>
      </c>
      <c r="B90" s="41" t="n">
        <v>46146</v>
      </c>
      <c r="C90" s="5" t="s">
        <v>102</v>
      </c>
      <c r="D90" s="5" t="s">
        <v>120</v>
      </c>
      <c r="E90" s="43" t="n">
        <v>400228</v>
      </c>
      <c r="F90" s="27" t="str">
        <f aca="false">INDEX(Setup!$B$13:$B$26,MATCH(C90,Setup!$A$13:$A$26,0))</f>
        <v>North</v>
      </c>
      <c r="G90" s="28" t="n">
        <f aca="false">B90+INDEX(Setup!$C$13:$C$26,MATCH(C90,Setup!$A$13:$A$26,0))</f>
        <v>46176</v>
      </c>
      <c r="H90" s="29" t="n">
        <f aca="false">SUMIFS(Collections!$E$6:$E$2000,Collections!$C$6:$C$2000,A90)</f>
        <v>400228</v>
      </c>
      <c r="I90" s="44" t="n">
        <f aca="false">E90-H90</f>
        <v>0</v>
      </c>
      <c r="J90" s="31" t="str">
        <f aca="false">IF(I90&gt;Setup!$B$9,Setup!$B$5-G90,"")</f>
        <v/>
      </c>
      <c r="K90" s="8" t="str">
        <f aca="false">IF(I90&lt;=Setup!$B$9,"Settled",IF(J90&lt;=0,"Not yet due",IF(J90&lt;=30,"1-30 days",IF(J90&lt;=60,"31-60 days",IF(J90&lt;=90,"61-90 days","Over 90 days")))))</f>
        <v>Settled</v>
      </c>
    </row>
    <row r="91" customFormat="false" ht="15" hidden="false" customHeight="false" outlineLevel="0" collapsed="false">
      <c r="A91" s="5" t="s">
        <v>208</v>
      </c>
      <c r="B91" s="41" t="n">
        <v>46147</v>
      </c>
      <c r="C91" s="5" t="s">
        <v>92</v>
      </c>
      <c r="D91" s="5" t="s">
        <v>122</v>
      </c>
      <c r="E91" s="43" t="n">
        <v>165693</v>
      </c>
      <c r="F91" s="27" t="str">
        <f aca="false">INDEX(Setup!$B$13:$B$26,MATCH(C91,Setup!$A$13:$A$26,0))</f>
        <v>East</v>
      </c>
      <c r="G91" s="28" t="n">
        <f aca="false">B91+INDEX(Setup!$C$13:$C$26,MATCH(C91,Setup!$A$13:$A$26,0))</f>
        <v>46192</v>
      </c>
      <c r="H91" s="29" t="n">
        <f aca="false">SUMIFS(Collections!$E$6:$E$2000,Collections!$C$6:$C$2000,A91)</f>
        <v>165693</v>
      </c>
      <c r="I91" s="44" t="n">
        <f aca="false">E91-H91</f>
        <v>0</v>
      </c>
      <c r="J91" s="31" t="str">
        <f aca="false">IF(I91&gt;Setup!$B$9,Setup!$B$5-G91,"")</f>
        <v/>
      </c>
      <c r="K91" s="8" t="str">
        <f aca="false">IF(I91&lt;=Setup!$B$9,"Settled",IF(J91&lt;=0,"Not yet due",IF(J91&lt;=30,"1-30 days",IF(J91&lt;=60,"31-60 days",IF(J91&lt;=90,"61-90 days","Over 90 days")))))</f>
        <v>Settled</v>
      </c>
    </row>
    <row r="92" customFormat="false" ht="15" hidden="false" customHeight="false" outlineLevel="0" collapsed="false">
      <c r="A92" s="5" t="s">
        <v>209</v>
      </c>
      <c r="B92" s="41" t="n">
        <v>46148</v>
      </c>
      <c r="C92" s="5" t="s">
        <v>107</v>
      </c>
      <c r="D92" s="5" t="s">
        <v>122</v>
      </c>
      <c r="E92" s="43" t="n">
        <v>464274</v>
      </c>
      <c r="F92" s="27" t="str">
        <f aca="false">INDEX(Setup!$B$13:$B$26,MATCH(C92,Setup!$A$13:$A$26,0))</f>
        <v>South</v>
      </c>
      <c r="G92" s="28" t="n">
        <f aca="false">B92+INDEX(Setup!$C$13:$C$26,MATCH(C92,Setup!$A$13:$A$26,0))</f>
        <v>46178</v>
      </c>
      <c r="H92" s="29" t="n">
        <f aca="false">SUMIFS(Collections!$E$6:$E$2000,Collections!$C$6:$C$2000,A92)</f>
        <v>464274</v>
      </c>
      <c r="I92" s="44" t="n">
        <f aca="false">E92-H92</f>
        <v>0</v>
      </c>
      <c r="J92" s="31" t="str">
        <f aca="false">IF(I92&gt;Setup!$B$9,Setup!$B$5-G92,"")</f>
        <v/>
      </c>
      <c r="K92" s="8" t="str">
        <f aca="false">IF(I92&lt;=Setup!$B$9,"Settled",IF(J92&lt;=0,"Not yet due",IF(J92&lt;=30,"1-30 days",IF(J92&lt;=60,"31-60 days",IF(J92&lt;=90,"61-90 days","Over 90 days")))))</f>
        <v>Settled</v>
      </c>
    </row>
    <row r="93" customFormat="false" ht="15" hidden="false" customHeight="false" outlineLevel="0" collapsed="false">
      <c r="A93" s="5" t="s">
        <v>210</v>
      </c>
      <c r="B93" s="41" t="n">
        <v>46148</v>
      </c>
      <c r="C93" s="5" t="s">
        <v>108</v>
      </c>
      <c r="D93" s="5" t="s">
        <v>133</v>
      </c>
      <c r="E93" s="43" t="n">
        <v>378487</v>
      </c>
      <c r="F93" s="27" t="str">
        <f aca="false">INDEX(Setup!$B$13:$B$26,MATCH(C93,Setup!$A$13:$A$26,0))</f>
        <v>South</v>
      </c>
      <c r="G93" s="28" t="n">
        <f aca="false">B93+INDEX(Setup!$C$13:$C$26,MATCH(C93,Setup!$A$13:$A$26,0))</f>
        <v>46178</v>
      </c>
      <c r="H93" s="29" t="n">
        <f aca="false">SUMIFS(Collections!$E$6:$E$2000,Collections!$C$6:$C$2000,A93)</f>
        <v>378487</v>
      </c>
      <c r="I93" s="44" t="n">
        <f aca="false">E93-H93</f>
        <v>0</v>
      </c>
      <c r="J93" s="31" t="str">
        <f aca="false">IF(I93&gt;Setup!$B$9,Setup!$B$5-G93,"")</f>
        <v/>
      </c>
      <c r="K93" s="8" t="str">
        <f aca="false">IF(I93&lt;=Setup!$B$9,"Settled",IF(J93&lt;=0,"Not yet due",IF(J93&lt;=30,"1-30 days",IF(J93&lt;=60,"31-60 days",IF(J93&lt;=90,"61-90 days","Over 90 days")))))</f>
        <v>Settled</v>
      </c>
    </row>
    <row r="94" customFormat="false" ht="15" hidden="false" customHeight="false" outlineLevel="0" collapsed="false">
      <c r="A94" s="5" t="s">
        <v>211</v>
      </c>
      <c r="B94" s="41" t="n">
        <v>46150</v>
      </c>
      <c r="C94" s="5" t="s">
        <v>90</v>
      </c>
      <c r="D94" s="5" t="s">
        <v>122</v>
      </c>
      <c r="E94" s="43" t="n">
        <v>232133</v>
      </c>
      <c r="F94" s="27" t="str">
        <f aca="false">INDEX(Setup!$B$13:$B$26,MATCH(C94,Setup!$A$13:$A$26,0))</f>
        <v>East</v>
      </c>
      <c r="G94" s="28" t="n">
        <f aca="false">B94+INDEX(Setup!$C$13:$C$26,MATCH(C94,Setup!$A$13:$A$26,0))</f>
        <v>46180</v>
      </c>
      <c r="H94" s="29" t="n">
        <f aca="false">SUMIFS(Collections!$E$6:$E$2000,Collections!$C$6:$C$2000,A94)</f>
        <v>227490</v>
      </c>
      <c r="I94" s="44" t="n">
        <f aca="false">E94-H94</f>
        <v>4643</v>
      </c>
      <c r="J94" s="31" t="n">
        <f aca="false">IF(I94&gt;Setup!$B$9,Setup!$B$5-G94,"")</f>
        <v>115</v>
      </c>
      <c r="K94" s="8" t="str">
        <f aca="false">IF(I94&lt;=Setup!$B$9,"Settled",IF(J94&lt;=0,"Not yet due",IF(J94&lt;=30,"1-30 days",IF(J94&lt;=60,"31-60 days",IF(J94&lt;=90,"61-90 days","Over 90 days")))))</f>
        <v>Over 90 days</v>
      </c>
    </row>
    <row r="95" customFormat="false" ht="15" hidden="false" customHeight="false" outlineLevel="0" collapsed="false">
      <c r="A95" s="5" t="s">
        <v>212</v>
      </c>
      <c r="B95" s="41" t="n">
        <v>46151</v>
      </c>
      <c r="C95" s="5" t="s">
        <v>100</v>
      </c>
      <c r="D95" s="5" t="s">
        <v>122</v>
      </c>
      <c r="E95" s="43" t="n">
        <v>392229</v>
      </c>
      <c r="F95" s="27" t="str">
        <f aca="false">INDEX(Setup!$B$13:$B$26,MATCH(C95,Setup!$A$13:$A$26,0))</f>
        <v>North</v>
      </c>
      <c r="G95" s="28" t="n">
        <f aca="false">B95+INDEX(Setup!$C$13:$C$26,MATCH(C95,Setup!$A$13:$A$26,0))</f>
        <v>46181</v>
      </c>
      <c r="H95" s="29" t="n">
        <f aca="false">SUMIFS(Collections!$E$6:$E$2000,Collections!$C$6:$C$2000,A95)</f>
        <v>384384</v>
      </c>
      <c r="I95" s="44" t="n">
        <f aca="false">E95-H95</f>
        <v>7845</v>
      </c>
      <c r="J95" s="31" t="n">
        <f aca="false">IF(I95&gt;Setup!$B$9,Setup!$B$5-G95,"")</f>
        <v>114</v>
      </c>
      <c r="K95" s="8" t="str">
        <f aca="false">IF(I95&lt;=Setup!$B$9,"Settled",IF(J95&lt;=0,"Not yet due",IF(J95&lt;=30,"1-30 days",IF(J95&lt;=60,"31-60 days",IF(J95&lt;=90,"61-90 days","Over 90 days")))))</f>
        <v>Over 90 days</v>
      </c>
    </row>
    <row r="96" customFormat="false" ht="15" hidden="false" customHeight="false" outlineLevel="0" collapsed="false">
      <c r="A96" s="5" t="s">
        <v>213</v>
      </c>
      <c r="B96" s="41" t="n">
        <v>46152</v>
      </c>
      <c r="C96" s="5" t="s">
        <v>103</v>
      </c>
      <c r="D96" s="5" t="s">
        <v>122</v>
      </c>
      <c r="E96" s="43" t="n">
        <v>282617</v>
      </c>
      <c r="F96" s="27" t="str">
        <f aca="false">INDEX(Setup!$B$13:$B$26,MATCH(C96,Setup!$A$13:$A$26,0))</f>
        <v>North</v>
      </c>
      <c r="G96" s="28" t="n">
        <f aca="false">B96+INDEX(Setup!$C$13:$C$26,MATCH(C96,Setup!$A$13:$A$26,0))</f>
        <v>46182</v>
      </c>
      <c r="H96" s="29" t="n">
        <f aca="false">SUMIFS(Collections!$E$6:$E$2000,Collections!$C$6:$C$2000,A96)</f>
        <v>282617</v>
      </c>
      <c r="I96" s="44" t="n">
        <f aca="false">E96-H96</f>
        <v>0</v>
      </c>
      <c r="J96" s="31" t="str">
        <f aca="false">IF(I96&gt;Setup!$B$9,Setup!$B$5-G96,"")</f>
        <v/>
      </c>
      <c r="K96" s="8" t="str">
        <f aca="false">IF(I96&lt;=Setup!$B$9,"Settled",IF(J96&lt;=0,"Not yet due",IF(J96&lt;=30,"1-30 days",IF(J96&lt;=60,"31-60 days",IF(J96&lt;=90,"61-90 days","Over 90 days")))))</f>
        <v>Settled</v>
      </c>
    </row>
    <row r="97" customFormat="false" ht="15" hidden="false" customHeight="false" outlineLevel="0" collapsed="false">
      <c r="A97" s="5" t="s">
        <v>214</v>
      </c>
      <c r="B97" s="41" t="n">
        <v>46152</v>
      </c>
      <c r="C97" s="5" t="s">
        <v>104</v>
      </c>
      <c r="D97" s="5" t="s">
        <v>120</v>
      </c>
      <c r="E97" s="43" t="n">
        <v>169844</v>
      </c>
      <c r="F97" s="27" t="str">
        <f aca="false">INDEX(Setup!$B$13:$B$26,MATCH(C97,Setup!$A$13:$A$26,0))</f>
        <v>North</v>
      </c>
      <c r="G97" s="28" t="n">
        <f aca="false">B97+INDEX(Setup!$C$13:$C$26,MATCH(C97,Setup!$A$13:$A$26,0))</f>
        <v>46197</v>
      </c>
      <c r="H97" s="29" t="n">
        <f aca="false">SUMIFS(Collections!$E$6:$E$2000,Collections!$C$6:$C$2000,A97)</f>
        <v>0</v>
      </c>
      <c r="I97" s="44" t="n">
        <f aca="false">E97-H97</f>
        <v>169844</v>
      </c>
      <c r="J97" s="31" t="n">
        <f aca="false">IF(I97&gt;Setup!$B$9,Setup!$B$5-G97,"")</f>
        <v>98</v>
      </c>
      <c r="K97" s="8" t="str">
        <f aca="false">IF(I97&lt;=Setup!$B$9,"Settled",IF(J97&lt;=0,"Not yet due",IF(J97&lt;=30,"1-30 days",IF(J97&lt;=60,"31-60 days",IF(J97&lt;=90,"61-90 days","Over 90 days")))))</f>
        <v>Over 90 days</v>
      </c>
    </row>
    <row r="98" customFormat="false" ht="15" hidden="false" customHeight="false" outlineLevel="0" collapsed="false">
      <c r="A98" s="5" t="s">
        <v>215</v>
      </c>
      <c r="B98" s="41" t="n">
        <v>46152</v>
      </c>
      <c r="C98" s="5" t="s">
        <v>97</v>
      </c>
      <c r="D98" s="5" t="s">
        <v>122</v>
      </c>
      <c r="E98" s="43" t="n">
        <v>204871</v>
      </c>
      <c r="F98" s="27" t="str">
        <f aca="false">INDEX(Setup!$B$13:$B$26,MATCH(C98,Setup!$A$13:$A$26,0))</f>
        <v>West</v>
      </c>
      <c r="G98" s="28" t="n">
        <f aca="false">B98+INDEX(Setup!$C$13:$C$26,MATCH(C98,Setup!$A$13:$A$26,0))</f>
        <v>46182</v>
      </c>
      <c r="H98" s="29" t="n">
        <f aca="false">SUMIFS(Collections!$E$6:$E$2000,Collections!$C$6:$C$2000,A98)</f>
        <v>204871</v>
      </c>
      <c r="I98" s="44" t="n">
        <f aca="false">E98-H98</f>
        <v>0</v>
      </c>
      <c r="J98" s="31" t="str">
        <f aca="false">IF(I98&gt;Setup!$B$9,Setup!$B$5-G98,"")</f>
        <v/>
      </c>
      <c r="K98" s="8" t="str">
        <f aca="false">IF(I98&lt;=Setup!$B$9,"Settled",IF(J98&lt;=0,"Not yet due",IF(J98&lt;=30,"1-30 days",IF(J98&lt;=60,"31-60 days",IF(J98&lt;=90,"61-90 days","Over 90 days")))))</f>
        <v>Settled</v>
      </c>
    </row>
    <row r="99" customFormat="false" ht="15" hidden="false" customHeight="false" outlineLevel="0" collapsed="false">
      <c r="A99" s="5" t="s">
        <v>216</v>
      </c>
      <c r="B99" s="41" t="n">
        <v>46153</v>
      </c>
      <c r="C99" s="5" t="s">
        <v>102</v>
      </c>
      <c r="D99" s="5" t="s">
        <v>133</v>
      </c>
      <c r="E99" s="43" t="n">
        <v>267766</v>
      </c>
      <c r="F99" s="27" t="str">
        <f aca="false">INDEX(Setup!$B$13:$B$26,MATCH(C99,Setup!$A$13:$A$26,0))</f>
        <v>North</v>
      </c>
      <c r="G99" s="28" t="n">
        <f aca="false">B99+INDEX(Setup!$C$13:$C$26,MATCH(C99,Setup!$A$13:$A$26,0))</f>
        <v>46183</v>
      </c>
      <c r="H99" s="29" t="n">
        <f aca="false">SUMIFS(Collections!$E$6:$E$2000,Collections!$C$6:$C$2000,A99)</f>
        <v>267766</v>
      </c>
      <c r="I99" s="44" t="n">
        <f aca="false">E99-H99</f>
        <v>0</v>
      </c>
      <c r="J99" s="31" t="str">
        <f aca="false">IF(I99&gt;Setup!$B$9,Setup!$B$5-G99,"")</f>
        <v/>
      </c>
      <c r="K99" s="8" t="str">
        <f aca="false">IF(I99&lt;=Setup!$B$9,"Settled",IF(J99&lt;=0,"Not yet due",IF(J99&lt;=30,"1-30 days",IF(J99&lt;=60,"31-60 days",IF(J99&lt;=90,"61-90 days","Over 90 days")))))</f>
        <v>Settled</v>
      </c>
    </row>
    <row r="100" customFormat="false" ht="15" hidden="false" customHeight="false" outlineLevel="0" collapsed="false">
      <c r="A100" s="5" t="s">
        <v>217</v>
      </c>
      <c r="B100" s="41" t="n">
        <v>46154</v>
      </c>
      <c r="C100" s="5" t="s">
        <v>104</v>
      </c>
      <c r="D100" s="5" t="s">
        <v>122</v>
      </c>
      <c r="E100" s="43" t="n">
        <v>226371</v>
      </c>
      <c r="F100" s="27" t="str">
        <f aca="false">INDEX(Setup!$B$13:$B$26,MATCH(C100,Setup!$A$13:$A$26,0))</f>
        <v>North</v>
      </c>
      <c r="G100" s="28" t="n">
        <f aca="false">B100+INDEX(Setup!$C$13:$C$26,MATCH(C100,Setup!$A$13:$A$26,0))</f>
        <v>46199</v>
      </c>
      <c r="H100" s="29" t="n">
        <f aca="false">SUMIFS(Collections!$E$6:$E$2000,Collections!$C$6:$C$2000,A100)</f>
        <v>0</v>
      </c>
      <c r="I100" s="44" t="n">
        <f aca="false">E100-H100</f>
        <v>226371</v>
      </c>
      <c r="J100" s="31" t="n">
        <f aca="false">IF(I100&gt;Setup!$B$9,Setup!$B$5-G100,"")</f>
        <v>96</v>
      </c>
      <c r="K100" s="8" t="str">
        <f aca="false">IF(I100&lt;=Setup!$B$9,"Settled",IF(J100&lt;=0,"Not yet due",IF(J100&lt;=30,"1-30 days",IF(J100&lt;=60,"31-60 days",IF(J100&lt;=90,"61-90 days","Over 90 days")))))</f>
        <v>Over 90 days</v>
      </c>
    </row>
    <row r="101" customFormat="false" ht="15" hidden="false" customHeight="false" outlineLevel="0" collapsed="false">
      <c r="A101" s="5" t="s">
        <v>218</v>
      </c>
      <c r="B101" s="41" t="n">
        <v>46155</v>
      </c>
      <c r="C101" s="5" t="s">
        <v>104</v>
      </c>
      <c r="D101" s="5" t="s">
        <v>122</v>
      </c>
      <c r="E101" s="43" t="n">
        <v>212053</v>
      </c>
      <c r="F101" s="27" t="str">
        <f aca="false">INDEX(Setup!$B$13:$B$26,MATCH(C101,Setup!$A$13:$A$26,0))</f>
        <v>North</v>
      </c>
      <c r="G101" s="28" t="n">
        <f aca="false">B101+INDEX(Setup!$C$13:$C$26,MATCH(C101,Setup!$A$13:$A$26,0))</f>
        <v>46200</v>
      </c>
      <c r="H101" s="29" t="n">
        <f aca="false">SUMIFS(Collections!$E$6:$E$2000,Collections!$C$6:$C$2000,A101)</f>
        <v>212053</v>
      </c>
      <c r="I101" s="44" t="n">
        <f aca="false">E101-H101</f>
        <v>0</v>
      </c>
      <c r="J101" s="31" t="str">
        <f aca="false">IF(I101&gt;Setup!$B$9,Setup!$B$5-G101,"")</f>
        <v/>
      </c>
      <c r="K101" s="8" t="str">
        <f aca="false">IF(I101&lt;=Setup!$B$9,"Settled",IF(J101&lt;=0,"Not yet due",IF(J101&lt;=30,"1-30 days",IF(J101&lt;=60,"31-60 days",IF(J101&lt;=90,"61-90 days","Over 90 days")))))</f>
        <v>Settled</v>
      </c>
    </row>
    <row r="102" customFormat="false" ht="15" hidden="false" customHeight="false" outlineLevel="0" collapsed="false">
      <c r="A102" s="5" t="s">
        <v>219</v>
      </c>
      <c r="B102" s="41" t="n">
        <v>46155</v>
      </c>
      <c r="C102" s="5" t="s">
        <v>87</v>
      </c>
      <c r="D102" s="5" t="s">
        <v>133</v>
      </c>
      <c r="E102" s="43" t="n">
        <v>267497</v>
      </c>
      <c r="F102" s="27" t="str">
        <f aca="false">INDEX(Setup!$B$13:$B$26,MATCH(C102,Setup!$A$13:$A$26,0))</f>
        <v>East</v>
      </c>
      <c r="G102" s="28" t="n">
        <f aca="false">B102+INDEX(Setup!$C$13:$C$26,MATCH(C102,Setup!$A$13:$A$26,0))</f>
        <v>46185</v>
      </c>
      <c r="H102" s="29" t="n">
        <f aca="false">SUMIFS(Collections!$E$6:$E$2000,Collections!$C$6:$C$2000,A102)</f>
        <v>267497</v>
      </c>
      <c r="I102" s="44" t="n">
        <f aca="false">E102-H102</f>
        <v>0</v>
      </c>
      <c r="J102" s="31" t="str">
        <f aca="false">IF(I102&gt;Setup!$B$9,Setup!$B$5-G102,"")</f>
        <v/>
      </c>
      <c r="K102" s="8" t="str">
        <f aca="false">IF(I102&lt;=Setup!$B$9,"Settled",IF(J102&lt;=0,"Not yet due",IF(J102&lt;=30,"1-30 days",IF(J102&lt;=60,"31-60 days",IF(J102&lt;=90,"61-90 days","Over 90 days")))))</f>
        <v>Settled</v>
      </c>
    </row>
    <row r="103" customFormat="false" ht="15" hidden="false" customHeight="false" outlineLevel="0" collapsed="false">
      <c r="A103" s="5" t="s">
        <v>220</v>
      </c>
      <c r="B103" s="41" t="n">
        <v>46155</v>
      </c>
      <c r="C103" s="5" t="s">
        <v>102</v>
      </c>
      <c r="D103" s="5" t="s">
        <v>120</v>
      </c>
      <c r="E103" s="43" t="n">
        <v>228375</v>
      </c>
      <c r="F103" s="27" t="str">
        <f aca="false">INDEX(Setup!$B$13:$B$26,MATCH(C103,Setup!$A$13:$A$26,0))</f>
        <v>North</v>
      </c>
      <c r="G103" s="28" t="n">
        <f aca="false">B103+INDEX(Setup!$C$13:$C$26,MATCH(C103,Setup!$A$13:$A$26,0))</f>
        <v>46185</v>
      </c>
      <c r="H103" s="29" t="n">
        <f aca="false">SUMIFS(Collections!$E$6:$E$2000,Collections!$C$6:$C$2000,A103)</f>
        <v>223807</v>
      </c>
      <c r="I103" s="44" t="n">
        <f aca="false">E103-H103</f>
        <v>4568</v>
      </c>
      <c r="J103" s="31" t="n">
        <f aca="false">IF(I103&gt;Setup!$B$9,Setup!$B$5-G103,"")</f>
        <v>110</v>
      </c>
      <c r="K103" s="8" t="str">
        <f aca="false">IF(I103&lt;=Setup!$B$9,"Settled",IF(J103&lt;=0,"Not yet due",IF(J103&lt;=30,"1-30 days",IF(J103&lt;=60,"31-60 days",IF(J103&lt;=90,"61-90 days","Over 90 days")))))</f>
        <v>Over 90 days</v>
      </c>
    </row>
    <row r="104" customFormat="false" ht="15" hidden="false" customHeight="false" outlineLevel="0" collapsed="false">
      <c r="A104" s="5" t="s">
        <v>221</v>
      </c>
      <c r="B104" s="41" t="n">
        <v>46155</v>
      </c>
      <c r="C104" s="5" t="s">
        <v>102</v>
      </c>
      <c r="D104" s="5" t="s">
        <v>133</v>
      </c>
      <c r="E104" s="43" t="n">
        <v>221444</v>
      </c>
      <c r="F104" s="27" t="str">
        <f aca="false">INDEX(Setup!$B$13:$B$26,MATCH(C104,Setup!$A$13:$A$26,0))</f>
        <v>North</v>
      </c>
      <c r="G104" s="28" t="n">
        <f aca="false">B104+INDEX(Setup!$C$13:$C$26,MATCH(C104,Setup!$A$13:$A$26,0))</f>
        <v>46185</v>
      </c>
      <c r="H104" s="29" t="n">
        <f aca="false">SUMIFS(Collections!$E$6:$E$2000,Collections!$C$6:$C$2000,A104)</f>
        <v>221444</v>
      </c>
      <c r="I104" s="44" t="n">
        <f aca="false">E104-H104</f>
        <v>0</v>
      </c>
      <c r="J104" s="31" t="str">
        <f aca="false">IF(I104&gt;Setup!$B$9,Setup!$B$5-G104,"")</f>
        <v/>
      </c>
      <c r="K104" s="8" t="str">
        <f aca="false">IF(I104&lt;=Setup!$B$9,"Settled",IF(J104&lt;=0,"Not yet due",IF(J104&lt;=30,"1-30 days",IF(J104&lt;=60,"31-60 days",IF(J104&lt;=90,"61-90 days","Over 90 days")))))</f>
        <v>Settled</v>
      </c>
    </row>
    <row r="105" customFormat="false" ht="15" hidden="false" customHeight="false" outlineLevel="0" collapsed="false">
      <c r="A105" s="5" t="s">
        <v>222</v>
      </c>
      <c r="B105" s="41" t="n">
        <v>46156</v>
      </c>
      <c r="C105" s="5" t="s">
        <v>90</v>
      </c>
      <c r="D105" s="5" t="s">
        <v>122</v>
      </c>
      <c r="E105" s="43" t="n">
        <v>194806</v>
      </c>
      <c r="F105" s="27" t="str">
        <f aca="false">INDEX(Setup!$B$13:$B$26,MATCH(C105,Setup!$A$13:$A$26,0))</f>
        <v>East</v>
      </c>
      <c r="G105" s="28" t="n">
        <f aca="false">B105+INDEX(Setup!$C$13:$C$26,MATCH(C105,Setup!$A$13:$A$26,0))</f>
        <v>46186</v>
      </c>
      <c r="H105" s="29" t="n">
        <f aca="false">SUMIFS(Collections!$E$6:$E$2000,Collections!$C$6:$C$2000,A105)</f>
        <v>194806</v>
      </c>
      <c r="I105" s="44" t="n">
        <f aca="false">E105-H105</f>
        <v>0</v>
      </c>
      <c r="J105" s="31" t="str">
        <f aca="false">IF(I105&gt;Setup!$B$9,Setup!$B$5-G105,"")</f>
        <v/>
      </c>
      <c r="K105" s="8" t="str">
        <f aca="false">IF(I105&lt;=Setup!$B$9,"Settled",IF(J105&lt;=0,"Not yet due",IF(J105&lt;=30,"1-30 days",IF(J105&lt;=60,"31-60 days",IF(J105&lt;=90,"61-90 days","Over 90 days")))))</f>
        <v>Settled</v>
      </c>
    </row>
    <row r="106" customFormat="false" ht="15" hidden="false" customHeight="false" outlineLevel="0" collapsed="false">
      <c r="A106" s="5" t="s">
        <v>223</v>
      </c>
      <c r="B106" s="41" t="n">
        <v>46156</v>
      </c>
      <c r="C106" s="5" t="s">
        <v>102</v>
      </c>
      <c r="D106" s="5" t="s">
        <v>122</v>
      </c>
      <c r="E106" s="43" t="n">
        <v>98579</v>
      </c>
      <c r="F106" s="27" t="str">
        <f aca="false">INDEX(Setup!$B$13:$B$26,MATCH(C106,Setup!$A$13:$A$26,0))</f>
        <v>North</v>
      </c>
      <c r="G106" s="28" t="n">
        <f aca="false">B106+INDEX(Setup!$C$13:$C$26,MATCH(C106,Setup!$A$13:$A$26,0))</f>
        <v>46186</v>
      </c>
      <c r="H106" s="29" t="n">
        <f aca="false">SUMIFS(Collections!$E$6:$E$2000,Collections!$C$6:$C$2000,A106)</f>
        <v>98579</v>
      </c>
      <c r="I106" s="44" t="n">
        <f aca="false">E106-H106</f>
        <v>0</v>
      </c>
      <c r="J106" s="31" t="str">
        <f aca="false">IF(I106&gt;Setup!$B$9,Setup!$B$5-G106,"")</f>
        <v/>
      </c>
      <c r="K106" s="8" t="str">
        <f aca="false">IF(I106&lt;=Setup!$B$9,"Settled",IF(J106&lt;=0,"Not yet due",IF(J106&lt;=30,"1-30 days",IF(J106&lt;=60,"31-60 days",IF(J106&lt;=90,"61-90 days","Over 90 days")))))</f>
        <v>Settled</v>
      </c>
    </row>
    <row r="107" customFormat="false" ht="15" hidden="false" customHeight="false" outlineLevel="0" collapsed="false">
      <c r="A107" s="5" t="s">
        <v>224</v>
      </c>
      <c r="B107" s="41" t="n">
        <v>46157</v>
      </c>
      <c r="C107" s="5" t="s">
        <v>94</v>
      </c>
      <c r="D107" s="5" t="s">
        <v>128</v>
      </c>
      <c r="E107" s="43" t="n">
        <v>287692</v>
      </c>
      <c r="F107" s="27" t="str">
        <f aca="false">INDEX(Setup!$B$13:$B$26,MATCH(C107,Setup!$A$13:$A$26,0))</f>
        <v>West</v>
      </c>
      <c r="G107" s="28" t="n">
        <f aca="false">B107+INDEX(Setup!$C$13:$C$26,MATCH(C107,Setup!$A$13:$A$26,0))</f>
        <v>46187</v>
      </c>
      <c r="H107" s="29" t="n">
        <f aca="false">SUMIFS(Collections!$E$6:$E$2000,Collections!$C$6:$C$2000,A107)</f>
        <v>287692</v>
      </c>
      <c r="I107" s="44" t="n">
        <f aca="false">E107-H107</f>
        <v>0</v>
      </c>
      <c r="J107" s="31" t="str">
        <f aca="false">IF(I107&gt;Setup!$B$9,Setup!$B$5-G107,"")</f>
        <v/>
      </c>
      <c r="K107" s="8" t="str">
        <f aca="false">IF(I107&lt;=Setup!$B$9,"Settled",IF(J107&lt;=0,"Not yet due",IF(J107&lt;=30,"1-30 days",IF(J107&lt;=60,"31-60 days",IF(J107&lt;=90,"61-90 days","Over 90 days")))))</f>
        <v>Settled</v>
      </c>
    </row>
    <row r="108" customFormat="false" ht="15" hidden="false" customHeight="false" outlineLevel="0" collapsed="false">
      <c r="A108" s="5" t="s">
        <v>225</v>
      </c>
      <c r="B108" s="41" t="n">
        <v>46158</v>
      </c>
      <c r="C108" s="5" t="s">
        <v>100</v>
      </c>
      <c r="D108" s="5" t="s">
        <v>128</v>
      </c>
      <c r="E108" s="43" t="n">
        <v>435366</v>
      </c>
      <c r="F108" s="27" t="str">
        <f aca="false">INDEX(Setup!$B$13:$B$26,MATCH(C108,Setup!$A$13:$A$26,0))</f>
        <v>North</v>
      </c>
      <c r="G108" s="28" t="n">
        <f aca="false">B108+INDEX(Setup!$C$13:$C$26,MATCH(C108,Setup!$A$13:$A$26,0))</f>
        <v>46188</v>
      </c>
      <c r="H108" s="29" t="n">
        <f aca="false">SUMIFS(Collections!$E$6:$E$2000,Collections!$C$6:$C$2000,A108)</f>
        <v>435366</v>
      </c>
      <c r="I108" s="44" t="n">
        <f aca="false">E108-H108</f>
        <v>0</v>
      </c>
      <c r="J108" s="31" t="str">
        <f aca="false">IF(I108&gt;Setup!$B$9,Setup!$B$5-G108,"")</f>
        <v/>
      </c>
      <c r="K108" s="8" t="str">
        <f aca="false">IF(I108&lt;=Setup!$B$9,"Settled",IF(J108&lt;=0,"Not yet due",IF(J108&lt;=30,"1-30 days",IF(J108&lt;=60,"31-60 days",IF(J108&lt;=90,"61-90 days","Over 90 days")))))</f>
        <v>Settled</v>
      </c>
    </row>
    <row r="109" customFormat="false" ht="15" hidden="false" customHeight="false" outlineLevel="0" collapsed="false">
      <c r="A109" s="5" t="s">
        <v>226</v>
      </c>
      <c r="B109" s="41" t="n">
        <v>46159</v>
      </c>
      <c r="C109" s="5" t="s">
        <v>104</v>
      </c>
      <c r="D109" s="5" t="s">
        <v>120</v>
      </c>
      <c r="E109" s="43" t="n">
        <v>210850</v>
      </c>
      <c r="F109" s="27" t="str">
        <f aca="false">INDEX(Setup!$B$13:$B$26,MATCH(C109,Setup!$A$13:$A$26,0))</f>
        <v>North</v>
      </c>
      <c r="G109" s="28" t="n">
        <f aca="false">B109+INDEX(Setup!$C$13:$C$26,MATCH(C109,Setup!$A$13:$A$26,0))</f>
        <v>46204</v>
      </c>
      <c r="H109" s="29" t="n">
        <f aca="false">SUMIFS(Collections!$E$6:$E$2000,Collections!$C$6:$C$2000,A109)</f>
        <v>0</v>
      </c>
      <c r="I109" s="44" t="n">
        <f aca="false">E109-H109</f>
        <v>210850</v>
      </c>
      <c r="J109" s="31" t="n">
        <f aca="false">IF(I109&gt;Setup!$B$9,Setup!$B$5-G109,"")</f>
        <v>91</v>
      </c>
      <c r="K109" s="8" t="str">
        <f aca="false">IF(I109&lt;=Setup!$B$9,"Settled",IF(J109&lt;=0,"Not yet due",IF(J109&lt;=30,"1-30 days",IF(J109&lt;=60,"31-60 days",IF(J109&lt;=90,"61-90 days","Over 90 days")))))</f>
        <v>Over 90 days</v>
      </c>
    </row>
    <row r="110" customFormat="false" ht="15" hidden="false" customHeight="false" outlineLevel="0" collapsed="false">
      <c r="A110" s="5" t="s">
        <v>227</v>
      </c>
      <c r="B110" s="41" t="n">
        <v>46159</v>
      </c>
      <c r="C110" s="5" t="s">
        <v>90</v>
      </c>
      <c r="D110" s="5" t="s">
        <v>133</v>
      </c>
      <c r="E110" s="43" t="n">
        <v>298867</v>
      </c>
      <c r="F110" s="27" t="str">
        <f aca="false">INDEX(Setup!$B$13:$B$26,MATCH(C110,Setup!$A$13:$A$26,0))</f>
        <v>East</v>
      </c>
      <c r="G110" s="28" t="n">
        <f aca="false">B110+INDEX(Setup!$C$13:$C$26,MATCH(C110,Setup!$A$13:$A$26,0))</f>
        <v>46189</v>
      </c>
      <c r="H110" s="29" t="n">
        <f aca="false">SUMIFS(Collections!$E$6:$E$2000,Collections!$C$6:$C$2000,A110)</f>
        <v>298867</v>
      </c>
      <c r="I110" s="44" t="n">
        <f aca="false">E110-H110</f>
        <v>0</v>
      </c>
      <c r="J110" s="31" t="str">
        <f aca="false">IF(I110&gt;Setup!$B$9,Setup!$B$5-G110,"")</f>
        <v/>
      </c>
      <c r="K110" s="8" t="str">
        <f aca="false">IF(I110&lt;=Setup!$B$9,"Settled",IF(J110&lt;=0,"Not yet due",IF(J110&lt;=30,"1-30 days",IF(J110&lt;=60,"31-60 days",IF(J110&lt;=90,"61-90 days","Over 90 days")))))</f>
        <v>Settled</v>
      </c>
    </row>
    <row r="111" customFormat="false" ht="15" hidden="false" customHeight="false" outlineLevel="0" collapsed="false">
      <c r="A111" s="5" t="s">
        <v>228</v>
      </c>
      <c r="B111" s="41" t="n">
        <v>46161</v>
      </c>
      <c r="C111" s="5" t="s">
        <v>94</v>
      </c>
      <c r="D111" s="5" t="s">
        <v>122</v>
      </c>
      <c r="E111" s="43" t="n">
        <v>478648</v>
      </c>
      <c r="F111" s="27" t="str">
        <f aca="false">INDEX(Setup!$B$13:$B$26,MATCH(C111,Setup!$A$13:$A$26,0))</f>
        <v>West</v>
      </c>
      <c r="G111" s="28" t="n">
        <f aca="false">B111+INDEX(Setup!$C$13:$C$26,MATCH(C111,Setup!$A$13:$A$26,0))</f>
        <v>46191</v>
      </c>
      <c r="H111" s="29" t="n">
        <f aca="false">SUMIFS(Collections!$E$6:$E$2000,Collections!$C$6:$C$2000,A111)</f>
        <v>478648</v>
      </c>
      <c r="I111" s="44" t="n">
        <f aca="false">E111-H111</f>
        <v>0</v>
      </c>
      <c r="J111" s="31" t="str">
        <f aca="false">IF(I111&gt;Setup!$B$9,Setup!$B$5-G111,"")</f>
        <v/>
      </c>
      <c r="K111" s="8" t="str">
        <f aca="false">IF(I111&lt;=Setup!$B$9,"Settled",IF(J111&lt;=0,"Not yet due",IF(J111&lt;=30,"1-30 days",IF(J111&lt;=60,"31-60 days",IF(J111&lt;=90,"61-90 days","Over 90 days")))))</f>
        <v>Settled</v>
      </c>
    </row>
    <row r="112" customFormat="false" ht="15" hidden="false" customHeight="false" outlineLevel="0" collapsed="false">
      <c r="A112" s="5" t="s">
        <v>229</v>
      </c>
      <c r="B112" s="41" t="n">
        <v>46161</v>
      </c>
      <c r="C112" s="5" t="s">
        <v>105</v>
      </c>
      <c r="D112" s="5" t="s">
        <v>122</v>
      </c>
      <c r="E112" s="43" t="n">
        <v>388417</v>
      </c>
      <c r="F112" s="27" t="str">
        <f aca="false">INDEX(Setup!$B$13:$B$26,MATCH(C112,Setup!$A$13:$A$26,0))</f>
        <v>South</v>
      </c>
      <c r="G112" s="28" t="n">
        <f aca="false">B112+INDEX(Setup!$C$13:$C$26,MATCH(C112,Setup!$A$13:$A$26,0))</f>
        <v>46191</v>
      </c>
      <c r="H112" s="29" t="n">
        <f aca="false">SUMIFS(Collections!$E$6:$E$2000,Collections!$C$6:$C$2000,A112)</f>
        <v>388417</v>
      </c>
      <c r="I112" s="44" t="n">
        <f aca="false">E112-H112</f>
        <v>0</v>
      </c>
      <c r="J112" s="31" t="str">
        <f aca="false">IF(I112&gt;Setup!$B$9,Setup!$B$5-G112,"")</f>
        <v/>
      </c>
      <c r="K112" s="8" t="str">
        <f aca="false">IF(I112&lt;=Setup!$B$9,"Settled",IF(J112&lt;=0,"Not yet due",IF(J112&lt;=30,"1-30 days",IF(J112&lt;=60,"31-60 days",IF(J112&lt;=90,"61-90 days","Over 90 days")))))</f>
        <v>Settled</v>
      </c>
    </row>
    <row r="113" customFormat="false" ht="15" hidden="false" customHeight="false" outlineLevel="0" collapsed="false">
      <c r="A113" s="5" t="s">
        <v>230</v>
      </c>
      <c r="B113" s="41" t="n">
        <v>46162</v>
      </c>
      <c r="C113" s="5" t="s">
        <v>99</v>
      </c>
      <c r="D113" s="5" t="s">
        <v>122</v>
      </c>
      <c r="E113" s="43" t="n">
        <v>266863</v>
      </c>
      <c r="F113" s="27" t="str">
        <f aca="false">INDEX(Setup!$B$13:$B$26,MATCH(C113,Setup!$A$13:$A$26,0))</f>
        <v>West</v>
      </c>
      <c r="G113" s="28" t="n">
        <f aca="false">B113+INDEX(Setup!$C$13:$C$26,MATCH(C113,Setup!$A$13:$A$26,0))</f>
        <v>46207</v>
      </c>
      <c r="H113" s="29" t="n">
        <f aca="false">SUMIFS(Collections!$E$6:$E$2000,Collections!$C$6:$C$2000,A113)</f>
        <v>266863</v>
      </c>
      <c r="I113" s="44" t="n">
        <f aca="false">E113-H113</f>
        <v>0</v>
      </c>
      <c r="J113" s="31" t="str">
        <f aca="false">IF(I113&gt;Setup!$B$9,Setup!$B$5-G113,"")</f>
        <v/>
      </c>
      <c r="K113" s="8" t="str">
        <f aca="false">IF(I113&lt;=Setup!$B$9,"Settled",IF(J113&lt;=0,"Not yet due",IF(J113&lt;=30,"1-30 days",IF(J113&lt;=60,"31-60 days",IF(J113&lt;=90,"61-90 days","Over 90 days")))))</f>
        <v>Settled</v>
      </c>
    </row>
    <row r="114" customFormat="false" ht="15" hidden="false" customHeight="false" outlineLevel="0" collapsed="false">
      <c r="A114" s="5" t="s">
        <v>231</v>
      </c>
      <c r="B114" s="41" t="n">
        <v>46164</v>
      </c>
      <c r="C114" s="5" t="s">
        <v>103</v>
      </c>
      <c r="D114" s="5" t="s">
        <v>128</v>
      </c>
      <c r="E114" s="43" t="n">
        <v>261413</v>
      </c>
      <c r="F114" s="27" t="str">
        <f aca="false">INDEX(Setup!$B$13:$B$26,MATCH(C114,Setup!$A$13:$A$26,0))</f>
        <v>North</v>
      </c>
      <c r="G114" s="28" t="n">
        <f aca="false">B114+INDEX(Setup!$C$13:$C$26,MATCH(C114,Setup!$A$13:$A$26,0))</f>
        <v>46194</v>
      </c>
      <c r="H114" s="29" t="n">
        <f aca="false">SUMIFS(Collections!$E$6:$E$2000,Collections!$C$6:$C$2000,A114)</f>
        <v>256184</v>
      </c>
      <c r="I114" s="44" t="n">
        <f aca="false">E114-H114</f>
        <v>5229</v>
      </c>
      <c r="J114" s="31" t="n">
        <f aca="false">IF(I114&gt;Setup!$B$9,Setup!$B$5-G114,"")</f>
        <v>101</v>
      </c>
      <c r="K114" s="8" t="str">
        <f aca="false">IF(I114&lt;=Setup!$B$9,"Settled",IF(J114&lt;=0,"Not yet due",IF(J114&lt;=30,"1-30 days",IF(J114&lt;=60,"31-60 days",IF(J114&lt;=90,"61-90 days","Over 90 days")))))</f>
        <v>Over 90 days</v>
      </c>
    </row>
    <row r="115" customFormat="false" ht="15" hidden="false" customHeight="false" outlineLevel="0" collapsed="false">
      <c r="A115" s="5" t="s">
        <v>232</v>
      </c>
      <c r="B115" s="41" t="n">
        <v>46164</v>
      </c>
      <c r="C115" s="5" t="s">
        <v>90</v>
      </c>
      <c r="D115" s="5" t="s">
        <v>122</v>
      </c>
      <c r="E115" s="43" t="n">
        <v>302246</v>
      </c>
      <c r="F115" s="27" t="str">
        <f aca="false">INDEX(Setup!$B$13:$B$26,MATCH(C115,Setup!$A$13:$A$26,0))</f>
        <v>East</v>
      </c>
      <c r="G115" s="28" t="n">
        <f aca="false">B115+INDEX(Setup!$C$13:$C$26,MATCH(C115,Setup!$A$13:$A$26,0))</f>
        <v>46194</v>
      </c>
      <c r="H115" s="29" t="n">
        <f aca="false">SUMIFS(Collections!$E$6:$E$2000,Collections!$C$6:$C$2000,A115)</f>
        <v>302246</v>
      </c>
      <c r="I115" s="44" t="n">
        <f aca="false">E115-H115</f>
        <v>0</v>
      </c>
      <c r="J115" s="31" t="str">
        <f aca="false">IF(I115&gt;Setup!$B$9,Setup!$B$5-G115,"")</f>
        <v/>
      </c>
      <c r="K115" s="8" t="str">
        <f aca="false">IF(I115&lt;=Setup!$B$9,"Settled",IF(J115&lt;=0,"Not yet due",IF(J115&lt;=30,"1-30 days",IF(J115&lt;=60,"31-60 days",IF(J115&lt;=90,"61-90 days","Over 90 days")))))</f>
        <v>Settled</v>
      </c>
    </row>
    <row r="116" customFormat="false" ht="15" hidden="false" customHeight="false" outlineLevel="0" collapsed="false">
      <c r="A116" s="5" t="s">
        <v>233</v>
      </c>
      <c r="B116" s="41" t="n">
        <v>46166</v>
      </c>
      <c r="C116" s="5" t="s">
        <v>90</v>
      </c>
      <c r="D116" s="5" t="s">
        <v>133</v>
      </c>
      <c r="E116" s="43" t="n">
        <v>56647</v>
      </c>
      <c r="F116" s="27" t="str">
        <f aca="false">INDEX(Setup!$B$13:$B$26,MATCH(C116,Setup!$A$13:$A$26,0))</f>
        <v>East</v>
      </c>
      <c r="G116" s="28" t="n">
        <f aca="false">B116+INDEX(Setup!$C$13:$C$26,MATCH(C116,Setup!$A$13:$A$26,0))</f>
        <v>46196</v>
      </c>
      <c r="H116" s="29" t="n">
        <f aca="false">SUMIFS(Collections!$E$6:$E$2000,Collections!$C$6:$C$2000,A116)</f>
        <v>56647</v>
      </c>
      <c r="I116" s="44" t="n">
        <f aca="false">E116-H116</f>
        <v>0</v>
      </c>
      <c r="J116" s="31" t="str">
        <f aca="false">IF(I116&gt;Setup!$B$9,Setup!$B$5-G116,"")</f>
        <v/>
      </c>
      <c r="K116" s="8" t="str">
        <f aca="false">IF(I116&lt;=Setup!$B$9,"Settled",IF(J116&lt;=0,"Not yet due",IF(J116&lt;=30,"1-30 days",IF(J116&lt;=60,"31-60 days",IF(J116&lt;=90,"61-90 days","Over 90 days")))))</f>
        <v>Settled</v>
      </c>
    </row>
    <row r="117" customFormat="false" ht="15" hidden="false" customHeight="false" outlineLevel="0" collapsed="false">
      <c r="A117" s="5" t="s">
        <v>234</v>
      </c>
      <c r="B117" s="41" t="n">
        <v>46168</v>
      </c>
      <c r="C117" s="5" t="s">
        <v>94</v>
      </c>
      <c r="D117" s="5" t="s">
        <v>122</v>
      </c>
      <c r="E117" s="43" t="n">
        <v>227276</v>
      </c>
      <c r="F117" s="27" t="str">
        <f aca="false">INDEX(Setup!$B$13:$B$26,MATCH(C117,Setup!$A$13:$A$26,0))</f>
        <v>West</v>
      </c>
      <c r="G117" s="28" t="n">
        <f aca="false">B117+INDEX(Setup!$C$13:$C$26,MATCH(C117,Setup!$A$13:$A$26,0))</f>
        <v>46198</v>
      </c>
      <c r="H117" s="29" t="n">
        <f aca="false">SUMIFS(Collections!$E$6:$E$2000,Collections!$C$6:$C$2000,A117)</f>
        <v>227276</v>
      </c>
      <c r="I117" s="44" t="n">
        <f aca="false">E117-H117</f>
        <v>0</v>
      </c>
      <c r="J117" s="31" t="str">
        <f aca="false">IF(I117&gt;Setup!$B$9,Setup!$B$5-G117,"")</f>
        <v/>
      </c>
      <c r="K117" s="8" t="str">
        <f aca="false">IF(I117&lt;=Setup!$B$9,"Settled",IF(J117&lt;=0,"Not yet due",IF(J117&lt;=30,"1-30 days",IF(J117&lt;=60,"31-60 days",IF(J117&lt;=90,"61-90 days","Over 90 days")))))</f>
        <v>Settled</v>
      </c>
    </row>
    <row r="118" customFormat="false" ht="15" hidden="false" customHeight="false" outlineLevel="0" collapsed="false">
      <c r="A118" s="5" t="s">
        <v>235</v>
      </c>
      <c r="B118" s="41" t="n">
        <v>46168</v>
      </c>
      <c r="C118" s="5" t="s">
        <v>92</v>
      </c>
      <c r="D118" s="5" t="s">
        <v>122</v>
      </c>
      <c r="E118" s="43" t="n">
        <v>322513</v>
      </c>
      <c r="F118" s="27" t="str">
        <f aca="false">INDEX(Setup!$B$13:$B$26,MATCH(C118,Setup!$A$13:$A$26,0))</f>
        <v>East</v>
      </c>
      <c r="G118" s="28" t="n">
        <f aca="false">B118+INDEX(Setup!$C$13:$C$26,MATCH(C118,Setup!$A$13:$A$26,0))</f>
        <v>46213</v>
      </c>
      <c r="H118" s="29" t="n">
        <f aca="false">SUMIFS(Collections!$E$6:$E$2000,Collections!$C$6:$C$2000,A118)</f>
        <v>322513</v>
      </c>
      <c r="I118" s="44" t="n">
        <f aca="false">E118-H118</f>
        <v>0</v>
      </c>
      <c r="J118" s="31" t="str">
        <f aca="false">IF(I118&gt;Setup!$B$9,Setup!$B$5-G118,"")</f>
        <v/>
      </c>
      <c r="K118" s="8" t="str">
        <f aca="false">IF(I118&lt;=Setup!$B$9,"Settled",IF(J118&lt;=0,"Not yet due",IF(J118&lt;=30,"1-30 days",IF(J118&lt;=60,"31-60 days",IF(J118&lt;=90,"61-90 days","Over 90 days")))))</f>
        <v>Settled</v>
      </c>
    </row>
    <row r="119" customFormat="false" ht="15" hidden="false" customHeight="false" outlineLevel="0" collapsed="false">
      <c r="A119" s="5" t="s">
        <v>236</v>
      </c>
      <c r="B119" s="41" t="n">
        <v>46170</v>
      </c>
      <c r="C119" s="5" t="s">
        <v>105</v>
      </c>
      <c r="D119" s="5" t="s">
        <v>120</v>
      </c>
      <c r="E119" s="43" t="n">
        <v>284067</v>
      </c>
      <c r="F119" s="27" t="str">
        <f aca="false">INDEX(Setup!$B$13:$B$26,MATCH(C119,Setup!$A$13:$A$26,0))</f>
        <v>South</v>
      </c>
      <c r="G119" s="28" t="n">
        <f aca="false">B119+INDEX(Setup!$C$13:$C$26,MATCH(C119,Setup!$A$13:$A$26,0))</f>
        <v>46200</v>
      </c>
      <c r="H119" s="29" t="n">
        <f aca="false">SUMIFS(Collections!$E$6:$E$2000,Collections!$C$6:$C$2000,A119)</f>
        <v>278385</v>
      </c>
      <c r="I119" s="44" t="n">
        <f aca="false">E119-H119</f>
        <v>5682</v>
      </c>
      <c r="J119" s="31" t="n">
        <f aca="false">IF(I119&gt;Setup!$B$9,Setup!$B$5-G119,"")</f>
        <v>95</v>
      </c>
      <c r="K119" s="8" t="str">
        <f aca="false">IF(I119&lt;=Setup!$B$9,"Settled",IF(J119&lt;=0,"Not yet due",IF(J119&lt;=30,"1-30 days",IF(J119&lt;=60,"31-60 days",IF(J119&lt;=90,"61-90 days","Over 90 days")))))</f>
        <v>Over 90 days</v>
      </c>
    </row>
    <row r="120" customFormat="false" ht="15" hidden="false" customHeight="false" outlineLevel="0" collapsed="false">
      <c r="A120" s="5" t="s">
        <v>237</v>
      </c>
      <c r="B120" s="41" t="n">
        <v>46170</v>
      </c>
      <c r="C120" s="5" t="s">
        <v>92</v>
      </c>
      <c r="D120" s="5" t="s">
        <v>120</v>
      </c>
      <c r="E120" s="43" t="n">
        <v>179046</v>
      </c>
      <c r="F120" s="27" t="str">
        <f aca="false">INDEX(Setup!$B$13:$B$26,MATCH(C120,Setup!$A$13:$A$26,0))</f>
        <v>East</v>
      </c>
      <c r="G120" s="28" t="n">
        <f aca="false">B120+INDEX(Setup!$C$13:$C$26,MATCH(C120,Setup!$A$13:$A$26,0))</f>
        <v>46215</v>
      </c>
      <c r="H120" s="29" t="n">
        <f aca="false">SUMIFS(Collections!$E$6:$E$2000,Collections!$C$6:$C$2000,A120)</f>
        <v>179046</v>
      </c>
      <c r="I120" s="44" t="n">
        <f aca="false">E120-H120</f>
        <v>0</v>
      </c>
      <c r="J120" s="31" t="str">
        <f aca="false">IF(I120&gt;Setup!$B$9,Setup!$B$5-G120,"")</f>
        <v/>
      </c>
      <c r="K120" s="8" t="str">
        <f aca="false">IF(I120&lt;=Setup!$B$9,"Settled",IF(J120&lt;=0,"Not yet due",IF(J120&lt;=30,"1-30 days",IF(J120&lt;=60,"31-60 days",IF(J120&lt;=90,"61-90 days","Over 90 days")))))</f>
        <v>Settled</v>
      </c>
    </row>
    <row r="121" customFormat="false" ht="15" hidden="false" customHeight="false" outlineLevel="0" collapsed="false">
      <c r="A121" s="5" t="s">
        <v>238</v>
      </c>
      <c r="B121" s="41" t="n">
        <v>46171</v>
      </c>
      <c r="C121" s="5" t="s">
        <v>103</v>
      </c>
      <c r="D121" s="5" t="s">
        <v>122</v>
      </c>
      <c r="E121" s="43" t="n">
        <v>100109</v>
      </c>
      <c r="F121" s="27" t="str">
        <f aca="false">INDEX(Setup!$B$13:$B$26,MATCH(C121,Setup!$A$13:$A$26,0))</f>
        <v>North</v>
      </c>
      <c r="G121" s="28" t="n">
        <f aca="false">B121+INDEX(Setup!$C$13:$C$26,MATCH(C121,Setup!$A$13:$A$26,0))</f>
        <v>46201</v>
      </c>
      <c r="H121" s="29" t="n">
        <f aca="false">SUMIFS(Collections!$E$6:$E$2000,Collections!$C$6:$C$2000,A121)</f>
        <v>100109</v>
      </c>
      <c r="I121" s="44" t="n">
        <f aca="false">E121-H121</f>
        <v>0</v>
      </c>
      <c r="J121" s="31" t="str">
        <f aca="false">IF(I121&gt;Setup!$B$9,Setup!$B$5-G121,"")</f>
        <v/>
      </c>
      <c r="K121" s="8" t="str">
        <f aca="false">IF(I121&lt;=Setup!$B$9,"Settled",IF(J121&lt;=0,"Not yet due",IF(J121&lt;=30,"1-30 days",IF(J121&lt;=60,"31-60 days",IF(J121&lt;=90,"61-90 days","Over 90 days")))))</f>
        <v>Settled</v>
      </c>
    </row>
    <row r="122" customFormat="false" ht="15" hidden="false" customHeight="false" outlineLevel="0" collapsed="false">
      <c r="A122" s="5" t="s">
        <v>239</v>
      </c>
      <c r="B122" s="41" t="n">
        <v>46172</v>
      </c>
      <c r="C122" s="5" t="s">
        <v>99</v>
      </c>
      <c r="D122" s="5" t="s">
        <v>133</v>
      </c>
      <c r="E122" s="43" t="n">
        <v>207167</v>
      </c>
      <c r="F122" s="27" t="str">
        <f aca="false">INDEX(Setup!$B$13:$B$26,MATCH(C122,Setup!$A$13:$A$26,0))</f>
        <v>West</v>
      </c>
      <c r="G122" s="28" t="n">
        <f aca="false">B122+INDEX(Setup!$C$13:$C$26,MATCH(C122,Setup!$A$13:$A$26,0))</f>
        <v>46217</v>
      </c>
      <c r="H122" s="29" t="n">
        <f aca="false">SUMIFS(Collections!$E$6:$E$2000,Collections!$C$6:$C$2000,A122)</f>
        <v>207167</v>
      </c>
      <c r="I122" s="44" t="n">
        <f aca="false">E122-H122</f>
        <v>0</v>
      </c>
      <c r="J122" s="31" t="str">
        <f aca="false">IF(I122&gt;Setup!$B$9,Setup!$B$5-G122,"")</f>
        <v/>
      </c>
      <c r="K122" s="8" t="str">
        <f aca="false">IF(I122&lt;=Setup!$B$9,"Settled",IF(J122&lt;=0,"Not yet due",IF(J122&lt;=30,"1-30 days",IF(J122&lt;=60,"31-60 days",IF(J122&lt;=90,"61-90 days","Over 90 days")))))</f>
        <v>Settled</v>
      </c>
    </row>
    <row r="123" customFormat="false" ht="15" hidden="false" customHeight="false" outlineLevel="0" collapsed="false">
      <c r="A123" s="5" t="s">
        <v>240</v>
      </c>
      <c r="B123" s="41" t="n">
        <v>46173</v>
      </c>
      <c r="C123" s="5" t="s">
        <v>102</v>
      </c>
      <c r="D123" s="5" t="s">
        <v>122</v>
      </c>
      <c r="E123" s="43" t="n">
        <v>146154</v>
      </c>
      <c r="F123" s="27" t="str">
        <f aca="false">INDEX(Setup!$B$13:$B$26,MATCH(C123,Setup!$A$13:$A$26,0))</f>
        <v>North</v>
      </c>
      <c r="G123" s="28" t="n">
        <f aca="false">B123+INDEX(Setup!$C$13:$C$26,MATCH(C123,Setup!$A$13:$A$26,0))</f>
        <v>46203</v>
      </c>
      <c r="H123" s="29" t="n">
        <f aca="false">SUMIFS(Collections!$E$6:$E$2000,Collections!$C$6:$C$2000,A123)</f>
        <v>146154</v>
      </c>
      <c r="I123" s="44" t="n">
        <f aca="false">E123-H123</f>
        <v>0</v>
      </c>
      <c r="J123" s="31" t="str">
        <f aca="false">IF(I123&gt;Setup!$B$9,Setup!$B$5-G123,"")</f>
        <v/>
      </c>
      <c r="K123" s="8" t="str">
        <f aca="false">IF(I123&lt;=Setup!$B$9,"Settled",IF(J123&lt;=0,"Not yet due",IF(J123&lt;=30,"1-30 days",IF(J123&lt;=60,"31-60 days",IF(J123&lt;=90,"61-90 days","Over 90 days")))))</f>
        <v>Settled</v>
      </c>
    </row>
    <row r="124" customFormat="false" ht="15" hidden="false" customHeight="false" outlineLevel="0" collapsed="false">
      <c r="A124" s="5" t="s">
        <v>241</v>
      </c>
      <c r="B124" s="41" t="n">
        <v>46173</v>
      </c>
      <c r="C124" s="5" t="s">
        <v>108</v>
      </c>
      <c r="D124" s="5" t="s">
        <v>133</v>
      </c>
      <c r="E124" s="43" t="n">
        <v>380009</v>
      </c>
      <c r="F124" s="27" t="str">
        <f aca="false">INDEX(Setup!$B$13:$B$26,MATCH(C124,Setup!$A$13:$A$26,0))</f>
        <v>South</v>
      </c>
      <c r="G124" s="28" t="n">
        <f aca="false">B124+INDEX(Setup!$C$13:$C$26,MATCH(C124,Setup!$A$13:$A$26,0))</f>
        <v>46203</v>
      </c>
      <c r="H124" s="29" t="n">
        <f aca="false">SUMIFS(Collections!$E$6:$E$2000,Collections!$C$6:$C$2000,A124)</f>
        <v>380009</v>
      </c>
      <c r="I124" s="44" t="n">
        <f aca="false">E124-H124</f>
        <v>0</v>
      </c>
      <c r="J124" s="31" t="str">
        <f aca="false">IF(I124&gt;Setup!$B$9,Setup!$B$5-G124,"")</f>
        <v/>
      </c>
      <c r="K124" s="8" t="str">
        <f aca="false">IF(I124&lt;=Setup!$B$9,"Settled",IF(J124&lt;=0,"Not yet due",IF(J124&lt;=30,"1-30 days",IF(J124&lt;=60,"31-60 days",IF(J124&lt;=90,"61-90 days","Over 90 days")))))</f>
        <v>Settled</v>
      </c>
    </row>
    <row r="125" customFormat="false" ht="15" hidden="false" customHeight="false" outlineLevel="0" collapsed="false">
      <c r="A125" s="5" t="s">
        <v>242</v>
      </c>
      <c r="B125" s="41" t="n">
        <v>46173</v>
      </c>
      <c r="C125" s="5" t="s">
        <v>107</v>
      </c>
      <c r="D125" s="5" t="s">
        <v>120</v>
      </c>
      <c r="E125" s="43" t="n">
        <v>185761</v>
      </c>
      <c r="F125" s="27" t="str">
        <f aca="false">INDEX(Setup!$B$13:$B$26,MATCH(C125,Setup!$A$13:$A$26,0))</f>
        <v>South</v>
      </c>
      <c r="G125" s="28" t="n">
        <f aca="false">B125+INDEX(Setup!$C$13:$C$26,MATCH(C125,Setup!$A$13:$A$26,0))</f>
        <v>46203</v>
      </c>
      <c r="H125" s="29" t="n">
        <f aca="false">SUMIFS(Collections!$E$6:$E$2000,Collections!$C$6:$C$2000,A125)</f>
        <v>185761</v>
      </c>
      <c r="I125" s="44" t="n">
        <f aca="false">E125-H125</f>
        <v>0</v>
      </c>
      <c r="J125" s="31" t="str">
        <f aca="false">IF(I125&gt;Setup!$B$9,Setup!$B$5-G125,"")</f>
        <v/>
      </c>
      <c r="K125" s="8" t="str">
        <f aca="false">IF(I125&lt;=Setup!$B$9,"Settled",IF(J125&lt;=0,"Not yet due",IF(J125&lt;=30,"1-30 days",IF(J125&lt;=60,"31-60 days",IF(J125&lt;=90,"61-90 days","Over 90 days")))))</f>
        <v>Settled</v>
      </c>
    </row>
    <row r="126" customFormat="false" ht="15" hidden="false" customHeight="false" outlineLevel="0" collapsed="false">
      <c r="A126" s="5" t="s">
        <v>243</v>
      </c>
      <c r="B126" s="41" t="n">
        <v>46174</v>
      </c>
      <c r="C126" s="5" t="s">
        <v>100</v>
      </c>
      <c r="D126" s="5" t="s">
        <v>122</v>
      </c>
      <c r="E126" s="43" t="n">
        <v>160464</v>
      </c>
      <c r="F126" s="27" t="str">
        <f aca="false">INDEX(Setup!$B$13:$B$26,MATCH(C126,Setup!$A$13:$A$26,0))</f>
        <v>North</v>
      </c>
      <c r="G126" s="28" t="n">
        <f aca="false">B126+INDEX(Setup!$C$13:$C$26,MATCH(C126,Setup!$A$13:$A$26,0))</f>
        <v>46204</v>
      </c>
      <c r="H126" s="29" t="n">
        <f aca="false">SUMIFS(Collections!$E$6:$E$2000,Collections!$C$6:$C$2000,A126)</f>
        <v>160464</v>
      </c>
      <c r="I126" s="44" t="n">
        <f aca="false">E126-H126</f>
        <v>0</v>
      </c>
      <c r="J126" s="31" t="str">
        <f aca="false">IF(I126&gt;Setup!$B$9,Setup!$B$5-G126,"")</f>
        <v/>
      </c>
      <c r="K126" s="8" t="str">
        <f aca="false">IF(I126&lt;=Setup!$B$9,"Settled",IF(J126&lt;=0,"Not yet due",IF(J126&lt;=30,"1-30 days",IF(J126&lt;=60,"31-60 days",IF(J126&lt;=90,"61-90 days","Over 90 days")))))</f>
        <v>Settled</v>
      </c>
    </row>
    <row r="127" customFormat="false" ht="15" hidden="false" customHeight="false" outlineLevel="0" collapsed="false">
      <c r="A127" s="5" t="s">
        <v>244</v>
      </c>
      <c r="B127" s="41" t="n">
        <v>46174</v>
      </c>
      <c r="C127" s="5" t="s">
        <v>92</v>
      </c>
      <c r="D127" s="5" t="s">
        <v>122</v>
      </c>
      <c r="E127" s="43" t="n">
        <v>270299</v>
      </c>
      <c r="F127" s="27" t="str">
        <f aca="false">INDEX(Setup!$B$13:$B$26,MATCH(C127,Setup!$A$13:$A$26,0))</f>
        <v>East</v>
      </c>
      <c r="G127" s="28" t="n">
        <f aca="false">B127+INDEX(Setup!$C$13:$C$26,MATCH(C127,Setup!$A$13:$A$26,0))</f>
        <v>46219</v>
      </c>
      <c r="H127" s="29" t="n">
        <f aca="false">SUMIFS(Collections!$E$6:$E$2000,Collections!$C$6:$C$2000,A127)</f>
        <v>270299</v>
      </c>
      <c r="I127" s="44" t="n">
        <f aca="false">E127-H127</f>
        <v>0</v>
      </c>
      <c r="J127" s="31" t="str">
        <f aca="false">IF(I127&gt;Setup!$B$9,Setup!$B$5-G127,"")</f>
        <v/>
      </c>
      <c r="K127" s="8" t="str">
        <f aca="false">IF(I127&lt;=Setup!$B$9,"Settled",IF(J127&lt;=0,"Not yet due",IF(J127&lt;=30,"1-30 days",IF(J127&lt;=60,"31-60 days",IF(J127&lt;=90,"61-90 days","Over 90 days")))))</f>
        <v>Settled</v>
      </c>
    </row>
    <row r="128" customFormat="false" ht="15" hidden="false" customHeight="false" outlineLevel="0" collapsed="false">
      <c r="A128" s="5" t="s">
        <v>245</v>
      </c>
      <c r="B128" s="41" t="n">
        <v>46174</v>
      </c>
      <c r="C128" s="5" t="s">
        <v>100</v>
      </c>
      <c r="D128" s="5" t="s">
        <v>122</v>
      </c>
      <c r="E128" s="43" t="n">
        <v>442222</v>
      </c>
      <c r="F128" s="27" t="str">
        <f aca="false">INDEX(Setup!$B$13:$B$26,MATCH(C128,Setup!$A$13:$A$26,0))</f>
        <v>North</v>
      </c>
      <c r="G128" s="28" t="n">
        <f aca="false">B128+INDEX(Setup!$C$13:$C$26,MATCH(C128,Setup!$A$13:$A$26,0))</f>
        <v>46204</v>
      </c>
      <c r="H128" s="29" t="n">
        <f aca="false">SUMIFS(Collections!$E$6:$E$2000,Collections!$C$6:$C$2000,A128)</f>
        <v>442222</v>
      </c>
      <c r="I128" s="44" t="n">
        <f aca="false">E128-H128</f>
        <v>0</v>
      </c>
      <c r="J128" s="31" t="str">
        <f aca="false">IF(I128&gt;Setup!$B$9,Setup!$B$5-G128,"")</f>
        <v/>
      </c>
      <c r="K128" s="8" t="str">
        <f aca="false">IF(I128&lt;=Setup!$B$9,"Settled",IF(J128&lt;=0,"Not yet due",IF(J128&lt;=30,"1-30 days",IF(J128&lt;=60,"31-60 days",IF(J128&lt;=90,"61-90 days","Over 90 days")))))</f>
        <v>Settled</v>
      </c>
    </row>
    <row r="129" customFormat="false" ht="15" hidden="false" customHeight="false" outlineLevel="0" collapsed="false">
      <c r="A129" s="5" t="s">
        <v>246</v>
      </c>
      <c r="B129" s="41" t="n">
        <v>46175</v>
      </c>
      <c r="C129" s="5" t="s">
        <v>107</v>
      </c>
      <c r="D129" s="5" t="s">
        <v>122</v>
      </c>
      <c r="E129" s="43" t="n">
        <v>420434</v>
      </c>
      <c r="F129" s="27" t="str">
        <f aca="false">INDEX(Setup!$B$13:$B$26,MATCH(C129,Setup!$A$13:$A$26,0))</f>
        <v>South</v>
      </c>
      <c r="G129" s="28" t="n">
        <f aca="false">B129+INDEX(Setup!$C$13:$C$26,MATCH(C129,Setup!$A$13:$A$26,0))</f>
        <v>46205</v>
      </c>
      <c r="H129" s="29" t="n">
        <f aca="false">SUMIFS(Collections!$E$6:$E$2000,Collections!$C$6:$C$2000,A129)</f>
        <v>420434</v>
      </c>
      <c r="I129" s="44" t="n">
        <f aca="false">E129-H129</f>
        <v>0</v>
      </c>
      <c r="J129" s="31" t="str">
        <f aca="false">IF(I129&gt;Setup!$B$9,Setup!$B$5-G129,"")</f>
        <v/>
      </c>
      <c r="K129" s="8" t="str">
        <f aca="false">IF(I129&lt;=Setup!$B$9,"Settled",IF(J129&lt;=0,"Not yet due",IF(J129&lt;=30,"1-30 days",IF(J129&lt;=60,"31-60 days",IF(J129&lt;=90,"61-90 days","Over 90 days")))))</f>
        <v>Settled</v>
      </c>
    </row>
    <row r="130" customFormat="false" ht="15" hidden="false" customHeight="false" outlineLevel="0" collapsed="false">
      <c r="A130" s="5" t="s">
        <v>247</v>
      </c>
      <c r="B130" s="41" t="n">
        <v>46178</v>
      </c>
      <c r="C130" s="5" t="s">
        <v>103</v>
      </c>
      <c r="D130" s="5" t="s">
        <v>122</v>
      </c>
      <c r="E130" s="43" t="n">
        <v>189315</v>
      </c>
      <c r="F130" s="27" t="str">
        <f aca="false">INDEX(Setup!$B$13:$B$26,MATCH(C130,Setup!$A$13:$A$26,0))</f>
        <v>North</v>
      </c>
      <c r="G130" s="28" t="n">
        <f aca="false">B130+INDEX(Setup!$C$13:$C$26,MATCH(C130,Setup!$A$13:$A$26,0))</f>
        <v>46208</v>
      </c>
      <c r="H130" s="29" t="n">
        <f aca="false">SUMIFS(Collections!$E$6:$E$2000,Collections!$C$6:$C$2000,A130)</f>
        <v>189315</v>
      </c>
      <c r="I130" s="44" t="n">
        <f aca="false">E130-H130</f>
        <v>0</v>
      </c>
      <c r="J130" s="31" t="str">
        <f aca="false">IF(I130&gt;Setup!$B$9,Setup!$B$5-G130,"")</f>
        <v/>
      </c>
      <c r="K130" s="8" t="str">
        <f aca="false">IF(I130&lt;=Setup!$B$9,"Settled",IF(J130&lt;=0,"Not yet due",IF(J130&lt;=30,"1-30 days",IF(J130&lt;=60,"31-60 days",IF(J130&lt;=90,"61-90 days","Over 90 days")))))</f>
        <v>Settled</v>
      </c>
    </row>
    <row r="131" customFormat="false" ht="15" hidden="false" customHeight="false" outlineLevel="0" collapsed="false">
      <c r="A131" s="5" t="s">
        <v>248</v>
      </c>
      <c r="B131" s="41" t="n">
        <v>46180</v>
      </c>
      <c r="C131" s="5" t="s">
        <v>100</v>
      </c>
      <c r="D131" s="5" t="s">
        <v>128</v>
      </c>
      <c r="E131" s="43" t="n">
        <v>518574</v>
      </c>
      <c r="F131" s="27" t="str">
        <f aca="false">INDEX(Setup!$B$13:$B$26,MATCH(C131,Setup!$A$13:$A$26,0))</f>
        <v>North</v>
      </c>
      <c r="G131" s="28" t="n">
        <f aca="false">B131+INDEX(Setup!$C$13:$C$26,MATCH(C131,Setup!$A$13:$A$26,0))</f>
        <v>46210</v>
      </c>
      <c r="H131" s="29" t="n">
        <f aca="false">SUMIFS(Collections!$E$6:$E$2000,Collections!$C$6:$C$2000,A131)</f>
        <v>518574</v>
      </c>
      <c r="I131" s="44" t="n">
        <f aca="false">E131-H131</f>
        <v>0</v>
      </c>
      <c r="J131" s="31" t="str">
        <f aca="false">IF(I131&gt;Setup!$B$9,Setup!$B$5-G131,"")</f>
        <v/>
      </c>
      <c r="K131" s="8" t="str">
        <f aca="false">IF(I131&lt;=Setup!$B$9,"Settled",IF(J131&lt;=0,"Not yet due",IF(J131&lt;=30,"1-30 days",IF(J131&lt;=60,"31-60 days",IF(J131&lt;=90,"61-90 days","Over 90 days")))))</f>
        <v>Settled</v>
      </c>
    </row>
    <row r="132" customFormat="false" ht="15" hidden="false" customHeight="false" outlineLevel="0" collapsed="false">
      <c r="A132" s="5" t="s">
        <v>249</v>
      </c>
      <c r="B132" s="41" t="n">
        <v>46180</v>
      </c>
      <c r="C132" s="5" t="s">
        <v>94</v>
      </c>
      <c r="D132" s="5" t="s">
        <v>133</v>
      </c>
      <c r="E132" s="43" t="n">
        <v>110064</v>
      </c>
      <c r="F132" s="27" t="str">
        <f aca="false">INDEX(Setup!$B$13:$B$26,MATCH(C132,Setup!$A$13:$A$26,0))</f>
        <v>West</v>
      </c>
      <c r="G132" s="28" t="n">
        <f aca="false">B132+INDEX(Setup!$C$13:$C$26,MATCH(C132,Setup!$A$13:$A$26,0))</f>
        <v>46210</v>
      </c>
      <c r="H132" s="29" t="n">
        <f aca="false">SUMIFS(Collections!$E$6:$E$2000,Collections!$C$6:$C$2000,A132)</f>
        <v>110064</v>
      </c>
      <c r="I132" s="44" t="n">
        <f aca="false">E132-H132</f>
        <v>0</v>
      </c>
      <c r="J132" s="31" t="str">
        <f aca="false">IF(I132&gt;Setup!$B$9,Setup!$B$5-G132,"")</f>
        <v/>
      </c>
      <c r="K132" s="8" t="str">
        <f aca="false">IF(I132&lt;=Setup!$B$9,"Settled",IF(J132&lt;=0,"Not yet due",IF(J132&lt;=30,"1-30 days",IF(J132&lt;=60,"31-60 days",IF(J132&lt;=90,"61-90 days","Over 90 days")))))</f>
        <v>Settled</v>
      </c>
    </row>
    <row r="133" customFormat="false" ht="15" hidden="false" customHeight="false" outlineLevel="0" collapsed="false">
      <c r="A133" s="5" t="s">
        <v>250</v>
      </c>
      <c r="B133" s="41" t="n">
        <v>46181</v>
      </c>
      <c r="C133" s="5" t="s">
        <v>99</v>
      </c>
      <c r="D133" s="5" t="s">
        <v>122</v>
      </c>
      <c r="E133" s="43" t="n">
        <v>293449</v>
      </c>
      <c r="F133" s="27" t="str">
        <f aca="false">INDEX(Setup!$B$13:$B$26,MATCH(C133,Setup!$A$13:$A$26,0))</f>
        <v>West</v>
      </c>
      <c r="G133" s="28" t="n">
        <f aca="false">B133+INDEX(Setup!$C$13:$C$26,MATCH(C133,Setup!$A$13:$A$26,0))</f>
        <v>46226</v>
      </c>
      <c r="H133" s="29" t="n">
        <f aca="false">SUMIFS(Collections!$E$6:$E$2000,Collections!$C$6:$C$2000,A133)</f>
        <v>293449</v>
      </c>
      <c r="I133" s="44" t="n">
        <f aca="false">E133-H133</f>
        <v>0</v>
      </c>
      <c r="J133" s="31" t="str">
        <f aca="false">IF(I133&gt;Setup!$B$9,Setup!$B$5-G133,"")</f>
        <v/>
      </c>
      <c r="K133" s="8" t="str">
        <f aca="false">IF(I133&lt;=Setup!$B$9,"Settled",IF(J133&lt;=0,"Not yet due",IF(J133&lt;=30,"1-30 days",IF(J133&lt;=60,"31-60 days",IF(J133&lt;=90,"61-90 days","Over 90 days")))))</f>
        <v>Settled</v>
      </c>
    </row>
    <row r="134" customFormat="false" ht="15" hidden="false" customHeight="false" outlineLevel="0" collapsed="false">
      <c r="A134" s="5" t="s">
        <v>251</v>
      </c>
      <c r="B134" s="41" t="n">
        <v>46182</v>
      </c>
      <c r="C134" s="5" t="s">
        <v>102</v>
      </c>
      <c r="D134" s="5" t="s">
        <v>133</v>
      </c>
      <c r="E134" s="43" t="n">
        <v>140233</v>
      </c>
      <c r="F134" s="27" t="str">
        <f aca="false">INDEX(Setup!$B$13:$B$26,MATCH(C134,Setup!$A$13:$A$26,0))</f>
        <v>North</v>
      </c>
      <c r="G134" s="28" t="n">
        <f aca="false">B134+INDEX(Setup!$C$13:$C$26,MATCH(C134,Setup!$A$13:$A$26,0))</f>
        <v>46212</v>
      </c>
      <c r="H134" s="29" t="n">
        <f aca="false">SUMIFS(Collections!$E$6:$E$2000,Collections!$C$6:$C$2000,A134)</f>
        <v>140233</v>
      </c>
      <c r="I134" s="44" t="n">
        <f aca="false">E134-H134</f>
        <v>0</v>
      </c>
      <c r="J134" s="31" t="str">
        <f aca="false">IF(I134&gt;Setup!$B$9,Setup!$B$5-G134,"")</f>
        <v/>
      </c>
      <c r="K134" s="8" t="str">
        <f aca="false">IF(I134&lt;=Setup!$B$9,"Settled",IF(J134&lt;=0,"Not yet due",IF(J134&lt;=30,"1-30 days",IF(J134&lt;=60,"31-60 days",IF(J134&lt;=90,"61-90 days","Over 90 days")))))</f>
        <v>Settled</v>
      </c>
    </row>
    <row r="135" customFormat="false" ht="15" hidden="false" customHeight="false" outlineLevel="0" collapsed="false">
      <c r="A135" s="5" t="s">
        <v>252</v>
      </c>
      <c r="B135" s="41" t="n">
        <v>46182</v>
      </c>
      <c r="C135" s="5" t="s">
        <v>100</v>
      </c>
      <c r="D135" s="5" t="s">
        <v>128</v>
      </c>
      <c r="E135" s="43" t="n">
        <v>139298</v>
      </c>
      <c r="F135" s="27" t="str">
        <f aca="false">INDEX(Setup!$B$13:$B$26,MATCH(C135,Setup!$A$13:$A$26,0))</f>
        <v>North</v>
      </c>
      <c r="G135" s="28" t="n">
        <f aca="false">B135+INDEX(Setup!$C$13:$C$26,MATCH(C135,Setup!$A$13:$A$26,0))</f>
        <v>46212</v>
      </c>
      <c r="H135" s="29" t="n">
        <f aca="false">SUMIFS(Collections!$E$6:$E$2000,Collections!$C$6:$C$2000,A135)</f>
        <v>136512</v>
      </c>
      <c r="I135" s="44" t="n">
        <f aca="false">E135-H135</f>
        <v>2786</v>
      </c>
      <c r="J135" s="31" t="n">
        <f aca="false">IF(I135&gt;Setup!$B$9,Setup!$B$5-G135,"")</f>
        <v>83</v>
      </c>
      <c r="K135" s="8" t="str">
        <f aca="false">IF(I135&lt;=Setup!$B$9,"Settled",IF(J135&lt;=0,"Not yet due",IF(J135&lt;=30,"1-30 days",IF(J135&lt;=60,"31-60 days",IF(J135&lt;=90,"61-90 days","Over 90 days")))))</f>
        <v>61-90 days</v>
      </c>
    </row>
    <row r="136" customFormat="false" ht="15" hidden="false" customHeight="false" outlineLevel="0" collapsed="false">
      <c r="A136" s="5" t="s">
        <v>253</v>
      </c>
      <c r="B136" s="41" t="n">
        <v>46183</v>
      </c>
      <c r="C136" s="5" t="s">
        <v>97</v>
      </c>
      <c r="D136" s="5" t="s">
        <v>122</v>
      </c>
      <c r="E136" s="43" t="n">
        <v>72067</v>
      </c>
      <c r="F136" s="27" t="str">
        <f aca="false">INDEX(Setup!$B$13:$B$26,MATCH(C136,Setup!$A$13:$A$26,0))</f>
        <v>West</v>
      </c>
      <c r="G136" s="28" t="n">
        <f aca="false">B136+INDEX(Setup!$C$13:$C$26,MATCH(C136,Setup!$A$13:$A$26,0))</f>
        <v>46213</v>
      </c>
      <c r="H136" s="29" t="n">
        <f aca="false">SUMIFS(Collections!$E$6:$E$2000,Collections!$C$6:$C$2000,A136)</f>
        <v>70625</v>
      </c>
      <c r="I136" s="44" t="n">
        <f aca="false">E136-H136</f>
        <v>1442</v>
      </c>
      <c r="J136" s="31" t="n">
        <f aca="false">IF(I136&gt;Setup!$B$9,Setup!$B$5-G136,"")</f>
        <v>82</v>
      </c>
      <c r="K136" s="8" t="str">
        <f aca="false">IF(I136&lt;=Setup!$B$9,"Settled",IF(J136&lt;=0,"Not yet due",IF(J136&lt;=30,"1-30 days",IF(J136&lt;=60,"31-60 days",IF(J136&lt;=90,"61-90 days","Over 90 days")))))</f>
        <v>61-90 days</v>
      </c>
    </row>
    <row r="137" customFormat="false" ht="15" hidden="false" customHeight="false" outlineLevel="0" collapsed="false">
      <c r="A137" s="5" t="s">
        <v>254</v>
      </c>
      <c r="B137" s="41" t="n">
        <v>46183</v>
      </c>
      <c r="C137" s="5" t="s">
        <v>109</v>
      </c>
      <c r="D137" s="5" t="s">
        <v>122</v>
      </c>
      <c r="E137" s="43" t="n">
        <v>145836</v>
      </c>
      <c r="F137" s="27" t="str">
        <f aca="false">INDEX(Setup!$B$13:$B$26,MATCH(C137,Setup!$A$13:$A$26,0))</f>
        <v>South</v>
      </c>
      <c r="G137" s="28" t="n">
        <f aca="false">B137+INDEX(Setup!$C$13:$C$26,MATCH(C137,Setup!$A$13:$A$26,0))</f>
        <v>46228</v>
      </c>
      <c r="H137" s="29" t="n">
        <f aca="false">SUMIFS(Collections!$E$6:$E$2000,Collections!$C$6:$C$2000,A137)</f>
        <v>145836</v>
      </c>
      <c r="I137" s="44" t="n">
        <f aca="false">E137-H137</f>
        <v>0</v>
      </c>
      <c r="J137" s="31" t="str">
        <f aca="false">IF(I137&gt;Setup!$B$9,Setup!$B$5-G137,"")</f>
        <v/>
      </c>
      <c r="K137" s="8" t="str">
        <f aca="false">IF(I137&lt;=Setup!$B$9,"Settled",IF(J137&lt;=0,"Not yet due",IF(J137&lt;=30,"1-30 days",IF(J137&lt;=60,"31-60 days",IF(J137&lt;=90,"61-90 days","Over 90 days")))))</f>
        <v>Settled</v>
      </c>
    </row>
    <row r="138" customFormat="false" ht="15" hidden="false" customHeight="false" outlineLevel="0" collapsed="false">
      <c r="A138" s="5" t="s">
        <v>255</v>
      </c>
      <c r="B138" s="41" t="n">
        <v>46185</v>
      </c>
      <c r="C138" s="5" t="s">
        <v>87</v>
      </c>
      <c r="D138" s="5" t="s">
        <v>120</v>
      </c>
      <c r="E138" s="43" t="n">
        <v>121206</v>
      </c>
      <c r="F138" s="27" t="str">
        <f aca="false">INDEX(Setup!$B$13:$B$26,MATCH(C138,Setup!$A$13:$A$26,0))</f>
        <v>East</v>
      </c>
      <c r="G138" s="28" t="n">
        <f aca="false">B138+INDEX(Setup!$C$13:$C$26,MATCH(C138,Setup!$A$13:$A$26,0))</f>
        <v>46215</v>
      </c>
      <c r="H138" s="29" t="n">
        <f aca="false">SUMIFS(Collections!$E$6:$E$2000,Collections!$C$6:$C$2000,A138)</f>
        <v>121206</v>
      </c>
      <c r="I138" s="44" t="n">
        <f aca="false">E138-H138</f>
        <v>0</v>
      </c>
      <c r="J138" s="31" t="str">
        <f aca="false">IF(I138&gt;Setup!$B$9,Setup!$B$5-G138,"")</f>
        <v/>
      </c>
      <c r="K138" s="8" t="str">
        <f aca="false">IF(I138&lt;=Setup!$B$9,"Settled",IF(J138&lt;=0,"Not yet due",IF(J138&lt;=30,"1-30 days",IF(J138&lt;=60,"31-60 days",IF(J138&lt;=90,"61-90 days","Over 90 days")))))</f>
        <v>Settled</v>
      </c>
    </row>
    <row r="139" customFormat="false" ht="15" hidden="false" customHeight="false" outlineLevel="0" collapsed="false">
      <c r="A139" s="5" t="s">
        <v>256</v>
      </c>
      <c r="B139" s="41" t="n">
        <v>46185</v>
      </c>
      <c r="C139" s="5" t="s">
        <v>87</v>
      </c>
      <c r="D139" s="5" t="s">
        <v>120</v>
      </c>
      <c r="E139" s="43" t="n">
        <v>108810</v>
      </c>
      <c r="F139" s="27" t="str">
        <f aca="false">INDEX(Setup!$B$13:$B$26,MATCH(C139,Setup!$A$13:$A$26,0))</f>
        <v>East</v>
      </c>
      <c r="G139" s="28" t="n">
        <f aca="false">B139+INDEX(Setup!$C$13:$C$26,MATCH(C139,Setup!$A$13:$A$26,0))</f>
        <v>46215</v>
      </c>
      <c r="H139" s="29" t="n">
        <f aca="false">SUMIFS(Collections!$E$6:$E$2000,Collections!$C$6:$C$2000,A139)</f>
        <v>108810</v>
      </c>
      <c r="I139" s="44" t="n">
        <f aca="false">E139-H139</f>
        <v>0</v>
      </c>
      <c r="J139" s="31" t="str">
        <f aca="false">IF(I139&gt;Setup!$B$9,Setup!$B$5-G139,"")</f>
        <v/>
      </c>
      <c r="K139" s="8" t="str">
        <f aca="false">IF(I139&lt;=Setup!$B$9,"Settled",IF(J139&lt;=0,"Not yet due",IF(J139&lt;=30,"1-30 days",IF(J139&lt;=60,"31-60 days",IF(J139&lt;=90,"61-90 days","Over 90 days")))))</f>
        <v>Settled</v>
      </c>
    </row>
    <row r="140" customFormat="false" ht="15" hidden="false" customHeight="false" outlineLevel="0" collapsed="false">
      <c r="A140" s="5" t="s">
        <v>257</v>
      </c>
      <c r="B140" s="41" t="n">
        <v>46185</v>
      </c>
      <c r="C140" s="5" t="s">
        <v>90</v>
      </c>
      <c r="D140" s="5" t="s">
        <v>120</v>
      </c>
      <c r="E140" s="43" t="n">
        <v>327167</v>
      </c>
      <c r="F140" s="27" t="str">
        <f aca="false">INDEX(Setup!$B$13:$B$26,MATCH(C140,Setup!$A$13:$A$26,0))</f>
        <v>East</v>
      </c>
      <c r="G140" s="28" t="n">
        <f aca="false">B140+INDEX(Setup!$C$13:$C$26,MATCH(C140,Setup!$A$13:$A$26,0))</f>
        <v>46215</v>
      </c>
      <c r="H140" s="29" t="n">
        <f aca="false">SUMIFS(Collections!$E$6:$E$2000,Collections!$C$6:$C$2000,A140)</f>
        <v>327167</v>
      </c>
      <c r="I140" s="44" t="n">
        <f aca="false">E140-H140</f>
        <v>0</v>
      </c>
      <c r="J140" s="31" t="str">
        <f aca="false">IF(I140&gt;Setup!$B$9,Setup!$B$5-G140,"")</f>
        <v/>
      </c>
      <c r="K140" s="8" t="str">
        <f aca="false">IF(I140&lt;=Setup!$B$9,"Settled",IF(J140&lt;=0,"Not yet due",IF(J140&lt;=30,"1-30 days",IF(J140&lt;=60,"31-60 days",IF(J140&lt;=90,"61-90 days","Over 90 days")))))</f>
        <v>Settled</v>
      </c>
    </row>
    <row r="141" customFormat="false" ht="15" hidden="false" customHeight="false" outlineLevel="0" collapsed="false">
      <c r="A141" s="5" t="s">
        <v>258</v>
      </c>
      <c r="B141" s="41" t="n">
        <v>46186</v>
      </c>
      <c r="C141" s="5" t="s">
        <v>102</v>
      </c>
      <c r="D141" s="5" t="s">
        <v>120</v>
      </c>
      <c r="E141" s="43" t="n">
        <v>125040</v>
      </c>
      <c r="F141" s="27" t="str">
        <f aca="false">INDEX(Setup!$B$13:$B$26,MATCH(C141,Setup!$A$13:$A$26,0))</f>
        <v>North</v>
      </c>
      <c r="G141" s="28" t="n">
        <f aca="false">B141+INDEX(Setup!$C$13:$C$26,MATCH(C141,Setup!$A$13:$A$26,0))</f>
        <v>46216</v>
      </c>
      <c r="H141" s="29" t="n">
        <f aca="false">SUMIFS(Collections!$E$6:$E$2000,Collections!$C$6:$C$2000,A141)</f>
        <v>125040</v>
      </c>
      <c r="I141" s="44" t="n">
        <f aca="false">E141-H141</f>
        <v>0</v>
      </c>
      <c r="J141" s="31" t="str">
        <f aca="false">IF(I141&gt;Setup!$B$9,Setup!$B$5-G141,"")</f>
        <v/>
      </c>
      <c r="K141" s="8" t="str">
        <f aca="false">IF(I141&lt;=Setup!$B$9,"Settled",IF(J141&lt;=0,"Not yet due",IF(J141&lt;=30,"1-30 days",IF(J141&lt;=60,"31-60 days",IF(J141&lt;=90,"61-90 days","Over 90 days")))))</f>
        <v>Settled</v>
      </c>
    </row>
    <row r="142" customFormat="false" ht="15" hidden="false" customHeight="false" outlineLevel="0" collapsed="false">
      <c r="A142" s="5" t="s">
        <v>259</v>
      </c>
      <c r="B142" s="41" t="n">
        <v>46186</v>
      </c>
      <c r="C142" s="5" t="s">
        <v>100</v>
      </c>
      <c r="D142" s="5" t="s">
        <v>122</v>
      </c>
      <c r="E142" s="43" t="n">
        <v>190471</v>
      </c>
      <c r="F142" s="27" t="str">
        <f aca="false">INDEX(Setup!$B$13:$B$26,MATCH(C142,Setup!$A$13:$A$26,0))</f>
        <v>North</v>
      </c>
      <c r="G142" s="28" t="n">
        <f aca="false">B142+INDEX(Setup!$C$13:$C$26,MATCH(C142,Setup!$A$13:$A$26,0))</f>
        <v>46216</v>
      </c>
      <c r="H142" s="29" t="n">
        <f aca="false">SUMIFS(Collections!$E$6:$E$2000,Collections!$C$6:$C$2000,A142)</f>
        <v>190471</v>
      </c>
      <c r="I142" s="44" t="n">
        <f aca="false">E142-H142</f>
        <v>0</v>
      </c>
      <c r="J142" s="31" t="str">
        <f aca="false">IF(I142&gt;Setup!$B$9,Setup!$B$5-G142,"")</f>
        <v/>
      </c>
      <c r="K142" s="8" t="str">
        <f aca="false">IF(I142&lt;=Setup!$B$9,"Settled",IF(J142&lt;=0,"Not yet due",IF(J142&lt;=30,"1-30 days",IF(J142&lt;=60,"31-60 days",IF(J142&lt;=90,"61-90 days","Over 90 days")))))</f>
        <v>Settled</v>
      </c>
    </row>
    <row r="143" customFormat="false" ht="15" hidden="false" customHeight="false" outlineLevel="0" collapsed="false">
      <c r="A143" s="5" t="s">
        <v>260</v>
      </c>
      <c r="B143" s="41" t="n">
        <v>46186</v>
      </c>
      <c r="C143" s="5" t="s">
        <v>103</v>
      </c>
      <c r="D143" s="5" t="s">
        <v>122</v>
      </c>
      <c r="E143" s="43" t="n">
        <v>110566</v>
      </c>
      <c r="F143" s="27" t="str">
        <f aca="false">INDEX(Setup!$B$13:$B$26,MATCH(C143,Setup!$A$13:$A$26,0))</f>
        <v>North</v>
      </c>
      <c r="G143" s="28" t="n">
        <f aca="false">B143+INDEX(Setup!$C$13:$C$26,MATCH(C143,Setup!$A$13:$A$26,0))</f>
        <v>46216</v>
      </c>
      <c r="H143" s="29" t="n">
        <f aca="false">SUMIFS(Collections!$E$6:$E$2000,Collections!$C$6:$C$2000,A143)</f>
        <v>110566</v>
      </c>
      <c r="I143" s="44" t="n">
        <f aca="false">E143-H143</f>
        <v>0</v>
      </c>
      <c r="J143" s="31" t="str">
        <f aca="false">IF(I143&gt;Setup!$B$9,Setup!$B$5-G143,"")</f>
        <v/>
      </c>
      <c r="K143" s="8" t="str">
        <f aca="false">IF(I143&lt;=Setup!$B$9,"Settled",IF(J143&lt;=0,"Not yet due",IF(J143&lt;=30,"1-30 days",IF(J143&lt;=60,"31-60 days",IF(J143&lt;=90,"61-90 days","Over 90 days")))))</f>
        <v>Settled</v>
      </c>
    </row>
    <row r="144" customFormat="false" ht="15" hidden="false" customHeight="false" outlineLevel="0" collapsed="false">
      <c r="A144" s="5" t="s">
        <v>261</v>
      </c>
      <c r="B144" s="41" t="n">
        <v>46187</v>
      </c>
      <c r="C144" s="5" t="s">
        <v>108</v>
      </c>
      <c r="D144" s="5" t="s">
        <v>128</v>
      </c>
      <c r="E144" s="43" t="n">
        <v>344493</v>
      </c>
      <c r="F144" s="27" t="str">
        <f aca="false">INDEX(Setup!$B$13:$B$26,MATCH(C144,Setup!$A$13:$A$26,0))</f>
        <v>South</v>
      </c>
      <c r="G144" s="28" t="n">
        <f aca="false">B144+INDEX(Setup!$C$13:$C$26,MATCH(C144,Setup!$A$13:$A$26,0))</f>
        <v>46217</v>
      </c>
      <c r="H144" s="29" t="n">
        <f aca="false">SUMIFS(Collections!$E$6:$E$2000,Collections!$C$6:$C$2000,A144)</f>
        <v>344493</v>
      </c>
      <c r="I144" s="44" t="n">
        <f aca="false">E144-H144</f>
        <v>0</v>
      </c>
      <c r="J144" s="31" t="str">
        <f aca="false">IF(I144&gt;Setup!$B$9,Setup!$B$5-G144,"")</f>
        <v/>
      </c>
      <c r="K144" s="8" t="str">
        <f aca="false">IF(I144&lt;=Setup!$B$9,"Settled",IF(J144&lt;=0,"Not yet due",IF(J144&lt;=30,"1-30 days",IF(J144&lt;=60,"31-60 days",IF(J144&lt;=90,"61-90 days","Over 90 days")))))</f>
        <v>Settled</v>
      </c>
    </row>
    <row r="145" customFormat="false" ht="15" hidden="false" customHeight="false" outlineLevel="0" collapsed="false">
      <c r="A145" s="5" t="s">
        <v>262</v>
      </c>
      <c r="B145" s="41" t="n">
        <v>46187</v>
      </c>
      <c r="C145" s="5" t="s">
        <v>94</v>
      </c>
      <c r="D145" s="5" t="s">
        <v>133</v>
      </c>
      <c r="E145" s="43" t="n">
        <v>506035</v>
      </c>
      <c r="F145" s="27" t="str">
        <f aca="false">INDEX(Setup!$B$13:$B$26,MATCH(C145,Setup!$A$13:$A$26,0))</f>
        <v>West</v>
      </c>
      <c r="G145" s="28" t="n">
        <f aca="false">B145+INDEX(Setup!$C$13:$C$26,MATCH(C145,Setup!$A$13:$A$26,0))</f>
        <v>46217</v>
      </c>
      <c r="H145" s="29" t="n">
        <f aca="false">SUMIFS(Collections!$E$6:$E$2000,Collections!$C$6:$C$2000,A145)</f>
        <v>506035</v>
      </c>
      <c r="I145" s="44" t="n">
        <f aca="false">E145-H145</f>
        <v>0</v>
      </c>
      <c r="J145" s="31" t="str">
        <f aca="false">IF(I145&gt;Setup!$B$9,Setup!$B$5-G145,"")</f>
        <v/>
      </c>
      <c r="K145" s="8" t="str">
        <f aca="false">IF(I145&lt;=Setup!$B$9,"Settled",IF(J145&lt;=0,"Not yet due",IF(J145&lt;=30,"1-30 days",IF(J145&lt;=60,"31-60 days",IF(J145&lt;=90,"61-90 days","Over 90 days")))))</f>
        <v>Settled</v>
      </c>
    </row>
    <row r="146" customFormat="false" ht="15" hidden="false" customHeight="false" outlineLevel="0" collapsed="false">
      <c r="A146" s="5" t="s">
        <v>263</v>
      </c>
      <c r="B146" s="41" t="n">
        <v>46189</v>
      </c>
      <c r="C146" s="5" t="s">
        <v>100</v>
      </c>
      <c r="D146" s="5" t="s">
        <v>122</v>
      </c>
      <c r="E146" s="43" t="n">
        <v>198942</v>
      </c>
      <c r="F146" s="27" t="str">
        <f aca="false">INDEX(Setup!$B$13:$B$26,MATCH(C146,Setup!$A$13:$A$26,0))</f>
        <v>North</v>
      </c>
      <c r="G146" s="28" t="n">
        <f aca="false">B146+INDEX(Setup!$C$13:$C$26,MATCH(C146,Setup!$A$13:$A$26,0))</f>
        <v>46219</v>
      </c>
      <c r="H146" s="29" t="n">
        <f aca="false">SUMIFS(Collections!$E$6:$E$2000,Collections!$C$6:$C$2000,A146)</f>
        <v>198942</v>
      </c>
      <c r="I146" s="44" t="n">
        <f aca="false">E146-H146</f>
        <v>0</v>
      </c>
      <c r="J146" s="31" t="str">
        <f aca="false">IF(I146&gt;Setup!$B$9,Setup!$B$5-G146,"")</f>
        <v/>
      </c>
      <c r="K146" s="8" t="str">
        <f aca="false">IF(I146&lt;=Setup!$B$9,"Settled",IF(J146&lt;=0,"Not yet due",IF(J146&lt;=30,"1-30 days",IF(J146&lt;=60,"31-60 days",IF(J146&lt;=90,"61-90 days","Over 90 days")))))</f>
        <v>Settled</v>
      </c>
    </row>
    <row r="147" customFormat="false" ht="15" hidden="false" customHeight="false" outlineLevel="0" collapsed="false">
      <c r="A147" s="5" t="s">
        <v>264</v>
      </c>
      <c r="B147" s="41" t="n">
        <v>46190</v>
      </c>
      <c r="C147" s="5" t="s">
        <v>97</v>
      </c>
      <c r="D147" s="5" t="s">
        <v>122</v>
      </c>
      <c r="E147" s="43" t="n">
        <v>287796</v>
      </c>
      <c r="F147" s="27" t="str">
        <f aca="false">INDEX(Setup!$B$13:$B$26,MATCH(C147,Setup!$A$13:$A$26,0))</f>
        <v>West</v>
      </c>
      <c r="G147" s="28" t="n">
        <f aca="false">B147+INDEX(Setup!$C$13:$C$26,MATCH(C147,Setup!$A$13:$A$26,0))</f>
        <v>46220</v>
      </c>
      <c r="H147" s="29" t="n">
        <f aca="false">SUMIFS(Collections!$E$6:$E$2000,Collections!$C$6:$C$2000,A147)</f>
        <v>287796</v>
      </c>
      <c r="I147" s="44" t="n">
        <f aca="false">E147-H147</f>
        <v>0</v>
      </c>
      <c r="J147" s="31" t="str">
        <f aca="false">IF(I147&gt;Setup!$B$9,Setup!$B$5-G147,"")</f>
        <v/>
      </c>
      <c r="K147" s="8" t="str">
        <f aca="false">IF(I147&lt;=Setup!$B$9,"Settled",IF(J147&lt;=0,"Not yet due",IF(J147&lt;=30,"1-30 days",IF(J147&lt;=60,"31-60 days",IF(J147&lt;=90,"61-90 days","Over 90 days")))))</f>
        <v>Settled</v>
      </c>
    </row>
    <row r="148" customFormat="false" ht="15" hidden="false" customHeight="false" outlineLevel="0" collapsed="false">
      <c r="A148" s="5" t="s">
        <v>265</v>
      </c>
      <c r="B148" s="41" t="n">
        <v>46191</v>
      </c>
      <c r="C148" s="5" t="s">
        <v>87</v>
      </c>
      <c r="D148" s="5" t="s">
        <v>122</v>
      </c>
      <c r="E148" s="43" t="n">
        <v>69629</v>
      </c>
      <c r="F148" s="27" t="str">
        <f aca="false">INDEX(Setup!$B$13:$B$26,MATCH(C148,Setup!$A$13:$A$26,0))</f>
        <v>East</v>
      </c>
      <c r="G148" s="28" t="n">
        <f aca="false">B148+INDEX(Setup!$C$13:$C$26,MATCH(C148,Setup!$A$13:$A$26,0))</f>
        <v>46221</v>
      </c>
      <c r="H148" s="29" t="n">
        <f aca="false">SUMIFS(Collections!$E$6:$E$2000,Collections!$C$6:$C$2000,A148)</f>
        <v>69629</v>
      </c>
      <c r="I148" s="44" t="n">
        <f aca="false">E148-H148</f>
        <v>0</v>
      </c>
      <c r="J148" s="31" t="str">
        <f aca="false">IF(I148&gt;Setup!$B$9,Setup!$B$5-G148,"")</f>
        <v/>
      </c>
      <c r="K148" s="8" t="str">
        <f aca="false">IF(I148&lt;=Setup!$B$9,"Settled",IF(J148&lt;=0,"Not yet due",IF(J148&lt;=30,"1-30 days",IF(J148&lt;=60,"31-60 days",IF(J148&lt;=90,"61-90 days","Over 90 days")))))</f>
        <v>Settled</v>
      </c>
    </row>
    <row r="149" customFormat="false" ht="15" hidden="false" customHeight="false" outlineLevel="0" collapsed="false">
      <c r="A149" s="5" t="s">
        <v>266</v>
      </c>
      <c r="B149" s="41" t="n">
        <v>46191</v>
      </c>
      <c r="C149" s="5" t="s">
        <v>92</v>
      </c>
      <c r="D149" s="5" t="s">
        <v>128</v>
      </c>
      <c r="E149" s="43" t="n">
        <v>264413</v>
      </c>
      <c r="F149" s="27" t="str">
        <f aca="false">INDEX(Setup!$B$13:$B$26,MATCH(C149,Setup!$A$13:$A$26,0))</f>
        <v>East</v>
      </c>
      <c r="G149" s="28" t="n">
        <f aca="false">B149+INDEX(Setup!$C$13:$C$26,MATCH(C149,Setup!$A$13:$A$26,0))</f>
        <v>46236</v>
      </c>
      <c r="H149" s="29" t="n">
        <f aca="false">SUMIFS(Collections!$E$6:$E$2000,Collections!$C$6:$C$2000,A149)</f>
        <v>264413</v>
      </c>
      <c r="I149" s="44" t="n">
        <f aca="false">E149-H149</f>
        <v>0</v>
      </c>
      <c r="J149" s="31" t="str">
        <f aca="false">IF(I149&gt;Setup!$B$9,Setup!$B$5-G149,"")</f>
        <v/>
      </c>
      <c r="K149" s="8" t="str">
        <f aca="false">IF(I149&lt;=Setup!$B$9,"Settled",IF(J149&lt;=0,"Not yet due",IF(J149&lt;=30,"1-30 days",IF(J149&lt;=60,"31-60 days",IF(J149&lt;=90,"61-90 days","Over 90 days")))))</f>
        <v>Settled</v>
      </c>
    </row>
    <row r="150" customFormat="false" ht="15" hidden="false" customHeight="false" outlineLevel="0" collapsed="false">
      <c r="A150" s="5" t="s">
        <v>267</v>
      </c>
      <c r="B150" s="41" t="n">
        <v>46191</v>
      </c>
      <c r="C150" s="5" t="s">
        <v>100</v>
      </c>
      <c r="D150" s="5" t="s">
        <v>122</v>
      </c>
      <c r="E150" s="43" t="n">
        <v>139616</v>
      </c>
      <c r="F150" s="27" t="str">
        <f aca="false">INDEX(Setup!$B$13:$B$26,MATCH(C150,Setup!$A$13:$A$26,0))</f>
        <v>North</v>
      </c>
      <c r="G150" s="28" t="n">
        <f aca="false">B150+INDEX(Setup!$C$13:$C$26,MATCH(C150,Setup!$A$13:$A$26,0))</f>
        <v>46221</v>
      </c>
      <c r="H150" s="29" t="n">
        <f aca="false">SUMIFS(Collections!$E$6:$E$2000,Collections!$C$6:$C$2000,A150)</f>
        <v>139616</v>
      </c>
      <c r="I150" s="44" t="n">
        <f aca="false">E150-H150</f>
        <v>0</v>
      </c>
      <c r="J150" s="31" t="str">
        <f aca="false">IF(I150&gt;Setup!$B$9,Setup!$B$5-G150,"")</f>
        <v/>
      </c>
      <c r="K150" s="8" t="str">
        <f aca="false">IF(I150&lt;=Setup!$B$9,"Settled",IF(J150&lt;=0,"Not yet due",IF(J150&lt;=30,"1-30 days",IF(J150&lt;=60,"31-60 days",IF(J150&lt;=90,"61-90 days","Over 90 days")))))</f>
        <v>Settled</v>
      </c>
    </row>
    <row r="151" customFormat="false" ht="15" hidden="false" customHeight="false" outlineLevel="0" collapsed="false">
      <c r="A151" s="5" t="s">
        <v>268</v>
      </c>
      <c r="B151" s="41" t="n">
        <v>46192</v>
      </c>
      <c r="C151" s="5" t="s">
        <v>104</v>
      </c>
      <c r="D151" s="5" t="s">
        <v>120</v>
      </c>
      <c r="E151" s="43" t="n">
        <v>389573</v>
      </c>
      <c r="F151" s="27" t="str">
        <f aca="false">INDEX(Setup!$B$13:$B$26,MATCH(C151,Setup!$A$13:$A$26,0))</f>
        <v>North</v>
      </c>
      <c r="G151" s="28" t="n">
        <f aca="false">B151+INDEX(Setup!$C$13:$C$26,MATCH(C151,Setup!$A$13:$A$26,0))</f>
        <v>46237</v>
      </c>
      <c r="H151" s="29" t="n">
        <f aca="false">SUMIFS(Collections!$E$6:$E$2000,Collections!$C$6:$C$2000,A151)</f>
        <v>0</v>
      </c>
      <c r="I151" s="44" t="n">
        <f aca="false">E151-H151</f>
        <v>389573</v>
      </c>
      <c r="J151" s="31" t="n">
        <f aca="false">IF(I151&gt;Setup!$B$9,Setup!$B$5-G151,"")</f>
        <v>58</v>
      </c>
      <c r="K151" s="8" t="str">
        <f aca="false">IF(I151&lt;=Setup!$B$9,"Settled",IF(J151&lt;=0,"Not yet due",IF(J151&lt;=30,"1-30 days",IF(J151&lt;=60,"31-60 days",IF(J151&lt;=90,"61-90 days","Over 90 days")))))</f>
        <v>31-60 days</v>
      </c>
    </row>
    <row r="152" customFormat="false" ht="15" hidden="false" customHeight="false" outlineLevel="0" collapsed="false">
      <c r="A152" s="5" t="s">
        <v>269</v>
      </c>
      <c r="B152" s="41" t="n">
        <v>46193</v>
      </c>
      <c r="C152" s="5" t="s">
        <v>105</v>
      </c>
      <c r="D152" s="5" t="s">
        <v>128</v>
      </c>
      <c r="E152" s="43" t="n">
        <v>234078</v>
      </c>
      <c r="F152" s="27" t="str">
        <f aca="false">INDEX(Setup!$B$13:$B$26,MATCH(C152,Setup!$A$13:$A$26,0))</f>
        <v>South</v>
      </c>
      <c r="G152" s="28" t="n">
        <f aca="false">B152+INDEX(Setup!$C$13:$C$26,MATCH(C152,Setup!$A$13:$A$26,0))</f>
        <v>46223</v>
      </c>
      <c r="H152" s="29" t="n">
        <f aca="false">SUMIFS(Collections!$E$6:$E$2000,Collections!$C$6:$C$2000,A152)</f>
        <v>234078</v>
      </c>
      <c r="I152" s="44" t="n">
        <f aca="false">E152-H152</f>
        <v>0</v>
      </c>
      <c r="J152" s="31" t="str">
        <f aca="false">IF(I152&gt;Setup!$B$9,Setup!$B$5-G152,"")</f>
        <v/>
      </c>
      <c r="K152" s="8" t="str">
        <f aca="false">IF(I152&lt;=Setup!$B$9,"Settled",IF(J152&lt;=0,"Not yet due",IF(J152&lt;=30,"1-30 days",IF(J152&lt;=60,"31-60 days",IF(J152&lt;=90,"61-90 days","Over 90 days")))))</f>
        <v>Settled</v>
      </c>
    </row>
    <row r="153" customFormat="false" ht="15" hidden="false" customHeight="false" outlineLevel="0" collapsed="false">
      <c r="A153" s="5" t="s">
        <v>270</v>
      </c>
      <c r="B153" s="41" t="n">
        <v>46195</v>
      </c>
      <c r="C153" s="5" t="s">
        <v>108</v>
      </c>
      <c r="D153" s="5" t="s">
        <v>122</v>
      </c>
      <c r="E153" s="43" t="n">
        <v>257455</v>
      </c>
      <c r="F153" s="27" t="str">
        <f aca="false">INDEX(Setup!$B$13:$B$26,MATCH(C153,Setup!$A$13:$A$26,0))</f>
        <v>South</v>
      </c>
      <c r="G153" s="28" t="n">
        <f aca="false">B153+INDEX(Setup!$C$13:$C$26,MATCH(C153,Setup!$A$13:$A$26,0))</f>
        <v>46225</v>
      </c>
      <c r="H153" s="29" t="n">
        <f aca="false">SUMIFS(Collections!$E$6:$E$2000,Collections!$C$6:$C$2000,A153)</f>
        <v>257455</v>
      </c>
      <c r="I153" s="44" t="n">
        <f aca="false">E153-H153</f>
        <v>0</v>
      </c>
      <c r="J153" s="31" t="str">
        <f aca="false">IF(I153&gt;Setup!$B$9,Setup!$B$5-G153,"")</f>
        <v/>
      </c>
      <c r="K153" s="8" t="str">
        <f aca="false">IF(I153&lt;=Setup!$B$9,"Settled",IF(J153&lt;=0,"Not yet due",IF(J153&lt;=30,"1-30 days",IF(J153&lt;=60,"31-60 days",IF(J153&lt;=90,"61-90 days","Over 90 days")))))</f>
        <v>Settled</v>
      </c>
    </row>
    <row r="154" customFormat="false" ht="15" hidden="false" customHeight="false" outlineLevel="0" collapsed="false">
      <c r="A154" s="5" t="s">
        <v>271</v>
      </c>
      <c r="B154" s="41" t="n">
        <v>46197</v>
      </c>
      <c r="C154" s="5" t="s">
        <v>107</v>
      </c>
      <c r="D154" s="5" t="s">
        <v>120</v>
      </c>
      <c r="E154" s="43" t="n">
        <v>217639</v>
      </c>
      <c r="F154" s="27" t="str">
        <f aca="false">INDEX(Setup!$B$13:$B$26,MATCH(C154,Setup!$A$13:$A$26,0))</f>
        <v>South</v>
      </c>
      <c r="G154" s="28" t="n">
        <f aca="false">B154+INDEX(Setup!$C$13:$C$26,MATCH(C154,Setup!$A$13:$A$26,0))</f>
        <v>46227</v>
      </c>
      <c r="H154" s="29" t="n">
        <f aca="false">SUMIFS(Collections!$E$6:$E$2000,Collections!$C$6:$C$2000,A154)</f>
        <v>217639</v>
      </c>
      <c r="I154" s="44" t="n">
        <f aca="false">E154-H154</f>
        <v>0</v>
      </c>
      <c r="J154" s="31" t="str">
        <f aca="false">IF(I154&gt;Setup!$B$9,Setup!$B$5-G154,"")</f>
        <v/>
      </c>
      <c r="K154" s="8" t="str">
        <f aca="false">IF(I154&lt;=Setup!$B$9,"Settled",IF(J154&lt;=0,"Not yet due",IF(J154&lt;=30,"1-30 days",IF(J154&lt;=60,"31-60 days",IF(J154&lt;=90,"61-90 days","Over 90 days")))))</f>
        <v>Settled</v>
      </c>
    </row>
    <row r="155" customFormat="false" ht="15" hidden="false" customHeight="false" outlineLevel="0" collapsed="false">
      <c r="A155" s="5" t="s">
        <v>272</v>
      </c>
      <c r="B155" s="41" t="n">
        <v>46198</v>
      </c>
      <c r="C155" s="5" t="s">
        <v>109</v>
      </c>
      <c r="D155" s="5" t="s">
        <v>122</v>
      </c>
      <c r="E155" s="43" t="n">
        <v>100796</v>
      </c>
      <c r="F155" s="27" t="str">
        <f aca="false">INDEX(Setup!$B$13:$B$26,MATCH(C155,Setup!$A$13:$A$26,0))</f>
        <v>South</v>
      </c>
      <c r="G155" s="28" t="n">
        <f aca="false">B155+INDEX(Setup!$C$13:$C$26,MATCH(C155,Setup!$A$13:$A$26,0))</f>
        <v>46243</v>
      </c>
      <c r="H155" s="29" t="n">
        <f aca="false">SUMIFS(Collections!$E$6:$E$2000,Collections!$C$6:$C$2000,A155)</f>
        <v>100796</v>
      </c>
      <c r="I155" s="44" t="n">
        <f aca="false">E155-H155</f>
        <v>0</v>
      </c>
      <c r="J155" s="31" t="str">
        <f aca="false">IF(I155&gt;Setup!$B$9,Setup!$B$5-G155,"")</f>
        <v/>
      </c>
      <c r="K155" s="8" t="str">
        <f aca="false">IF(I155&lt;=Setup!$B$9,"Settled",IF(J155&lt;=0,"Not yet due",IF(J155&lt;=30,"1-30 days",IF(J155&lt;=60,"31-60 days",IF(J155&lt;=90,"61-90 days","Over 90 days")))))</f>
        <v>Settled</v>
      </c>
    </row>
    <row r="156" customFormat="false" ht="15" hidden="false" customHeight="false" outlineLevel="0" collapsed="false">
      <c r="A156" s="5" t="s">
        <v>273</v>
      </c>
      <c r="B156" s="41" t="n">
        <v>46198</v>
      </c>
      <c r="C156" s="5" t="s">
        <v>103</v>
      </c>
      <c r="D156" s="5" t="s">
        <v>122</v>
      </c>
      <c r="E156" s="43" t="n">
        <v>272648</v>
      </c>
      <c r="F156" s="27" t="str">
        <f aca="false">INDEX(Setup!$B$13:$B$26,MATCH(C156,Setup!$A$13:$A$26,0))</f>
        <v>North</v>
      </c>
      <c r="G156" s="28" t="n">
        <f aca="false">B156+INDEX(Setup!$C$13:$C$26,MATCH(C156,Setup!$A$13:$A$26,0))</f>
        <v>46228</v>
      </c>
      <c r="H156" s="29" t="n">
        <f aca="false">SUMIFS(Collections!$E$6:$E$2000,Collections!$C$6:$C$2000,A156)</f>
        <v>272648</v>
      </c>
      <c r="I156" s="44" t="n">
        <f aca="false">E156-H156</f>
        <v>0</v>
      </c>
      <c r="J156" s="31" t="str">
        <f aca="false">IF(I156&gt;Setup!$B$9,Setup!$B$5-G156,"")</f>
        <v/>
      </c>
      <c r="K156" s="8" t="str">
        <f aca="false">IF(I156&lt;=Setup!$B$9,"Settled",IF(J156&lt;=0,"Not yet due",IF(J156&lt;=30,"1-30 days",IF(J156&lt;=60,"31-60 days",IF(J156&lt;=90,"61-90 days","Over 90 days")))))</f>
        <v>Settled</v>
      </c>
    </row>
    <row r="157" customFormat="false" ht="15" hidden="false" customHeight="false" outlineLevel="0" collapsed="false">
      <c r="A157" s="5" t="s">
        <v>274</v>
      </c>
      <c r="B157" s="41" t="n">
        <v>46199</v>
      </c>
      <c r="C157" s="5" t="s">
        <v>90</v>
      </c>
      <c r="D157" s="5" t="s">
        <v>122</v>
      </c>
      <c r="E157" s="43" t="n">
        <v>313048</v>
      </c>
      <c r="F157" s="27" t="str">
        <f aca="false">INDEX(Setup!$B$13:$B$26,MATCH(C157,Setup!$A$13:$A$26,0))</f>
        <v>East</v>
      </c>
      <c r="G157" s="28" t="n">
        <f aca="false">B157+INDEX(Setup!$C$13:$C$26,MATCH(C157,Setup!$A$13:$A$26,0))</f>
        <v>46229</v>
      </c>
      <c r="H157" s="29" t="n">
        <f aca="false">SUMIFS(Collections!$E$6:$E$2000,Collections!$C$6:$C$2000,A157)</f>
        <v>313048</v>
      </c>
      <c r="I157" s="44" t="n">
        <f aca="false">E157-H157</f>
        <v>0</v>
      </c>
      <c r="J157" s="31" t="str">
        <f aca="false">IF(I157&gt;Setup!$B$9,Setup!$B$5-G157,"")</f>
        <v/>
      </c>
      <c r="K157" s="8" t="str">
        <f aca="false">IF(I157&lt;=Setup!$B$9,"Settled",IF(J157&lt;=0,"Not yet due",IF(J157&lt;=30,"1-30 days",IF(J157&lt;=60,"31-60 days",IF(J157&lt;=90,"61-90 days","Over 90 days")))))</f>
        <v>Settled</v>
      </c>
    </row>
    <row r="158" customFormat="false" ht="15" hidden="false" customHeight="false" outlineLevel="0" collapsed="false">
      <c r="A158" s="5" t="s">
        <v>275</v>
      </c>
      <c r="B158" s="41" t="n">
        <v>46199</v>
      </c>
      <c r="C158" s="5" t="s">
        <v>92</v>
      </c>
      <c r="D158" s="5" t="s">
        <v>122</v>
      </c>
      <c r="E158" s="43" t="n">
        <v>304754</v>
      </c>
      <c r="F158" s="27" t="str">
        <f aca="false">INDEX(Setup!$B$13:$B$26,MATCH(C158,Setup!$A$13:$A$26,0))</f>
        <v>East</v>
      </c>
      <c r="G158" s="28" t="n">
        <f aca="false">B158+INDEX(Setup!$C$13:$C$26,MATCH(C158,Setup!$A$13:$A$26,0))</f>
        <v>46244</v>
      </c>
      <c r="H158" s="29" t="n">
        <f aca="false">SUMIFS(Collections!$E$6:$E$2000,Collections!$C$6:$C$2000,A158)</f>
        <v>304754</v>
      </c>
      <c r="I158" s="44" t="n">
        <f aca="false">E158-H158</f>
        <v>0</v>
      </c>
      <c r="J158" s="31" t="str">
        <f aca="false">IF(I158&gt;Setup!$B$9,Setup!$B$5-G158,"")</f>
        <v/>
      </c>
      <c r="K158" s="8" t="str">
        <f aca="false">IF(I158&lt;=Setup!$B$9,"Settled",IF(J158&lt;=0,"Not yet due",IF(J158&lt;=30,"1-30 days",IF(J158&lt;=60,"31-60 days",IF(J158&lt;=90,"61-90 days","Over 90 days")))))</f>
        <v>Settled</v>
      </c>
    </row>
    <row r="159" customFormat="false" ht="15" hidden="false" customHeight="false" outlineLevel="0" collapsed="false">
      <c r="A159" s="5" t="s">
        <v>276</v>
      </c>
      <c r="B159" s="41" t="n">
        <v>46199</v>
      </c>
      <c r="C159" s="5" t="s">
        <v>103</v>
      </c>
      <c r="D159" s="5" t="s">
        <v>133</v>
      </c>
      <c r="E159" s="43" t="n">
        <v>262456</v>
      </c>
      <c r="F159" s="27" t="str">
        <f aca="false">INDEX(Setup!$B$13:$B$26,MATCH(C159,Setup!$A$13:$A$26,0))</f>
        <v>North</v>
      </c>
      <c r="G159" s="28" t="n">
        <f aca="false">B159+INDEX(Setup!$C$13:$C$26,MATCH(C159,Setup!$A$13:$A$26,0))</f>
        <v>46229</v>
      </c>
      <c r="H159" s="29" t="n">
        <f aca="false">SUMIFS(Collections!$E$6:$E$2000,Collections!$C$6:$C$2000,A159)</f>
        <v>262456</v>
      </c>
      <c r="I159" s="44" t="n">
        <f aca="false">E159-H159</f>
        <v>0</v>
      </c>
      <c r="J159" s="31" t="str">
        <f aca="false">IF(I159&gt;Setup!$B$9,Setup!$B$5-G159,"")</f>
        <v/>
      </c>
      <c r="K159" s="8" t="str">
        <f aca="false">IF(I159&lt;=Setup!$B$9,"Settled",IF(J159&lt;=0,"Not yet due",IF(J159&lt;=30,"1-30 days",IF(J159&lt;=60,"31-60 days",IF(J159&lt;=90,"61-90 days","Over 90 days")))))</f>
        <v>Settled</v>
      </c>
    </row>
    <row r="160" customFormat="false" ht="15" hidden="false" customHeight="false" outlineLevel="0" collapsed="false">
      <c r="A160" s="5" t="s">
        <v>277</v>
      </c>
      <c r="B160" s="41" t="n">
        <v>46200</v>
      </c>
      <c r="C160" s="5" t="s">
        <v>108</v>
      </c>
      <c r="D160" s="5" t="s">
        <v>122</v>
      </c>
      <c r="E160" s="43" t="n">
        <v>448651</v>
      </c>
      <c r="F160" s="27" t="str">
        <f aca="false">INDEX(Setup!$B$13:$B$26,MATCH(C160,Setup!$A$13:$A$26,0))</f>
        <v>South</v>
      </c>
      <c r="G160" s="28" t="n">
        <f aca="false">B160+INDEX(Setup!$C$13:$C$26,MATCH(C160,Setup!$A$13:$A$26,0))</f>
        <v>46230</v>
      </c>
      <c r="H160" s="29" t="n">
        <f aca="false">SUMIFS(Collections!$E$6:$E$2000,Collections!$C$6:$C$2000,A160)</f>
        <v>448651</v>
      </c>
      <c r="I160" s="44" t="n">
        <f aca="false">E160-H160</f>
        <v>0</v>
      </c>
      <c r="J160" s="31" t="str">
        <f aca="false">IF(I160&gt;Setup!$B$9,Setup!$B$5-G160,"")</f>
        <v/>
      </c>
      <c r="K160" s="8" t="str">
        <f aca="false">IF(I160&lt;=Setup!$B$9,"Settled",IF(J160&lt;=0,"Not yet due",IF(J160&lt;=30,"1-30 days",IF(J160&lt;=60,"31-60 days",IF(J160&lt;=90,"61-90 days","Over 90 days")))))</f>
        <v>Settled</v>
      </c>
    </row>
    <row r="161" customFormat="false" ht="15" hidden="false" customHeight="false" outlineLevel="0" collapsed="false">
      <c r="A161" s="5" t="s">
        <v>278</v>
      </c>
      <c r="B161" s="41" t="n">
        <v>46200</v>
      </c>
      <c r="C161" s="5" t="s">
        <v>92</v>
      </c>
      <c r="D161" s="5" t="s">
        <v>120</v>
      </c>
      <c r="E161" s="43" t="n">
        <v>131780</v>
      </c>
      <c r="F161" s="27" t="str">
        <f aca="false">INDEX(Setup!$B$13:$B$26,MATCH(C161,Setup!$A$13:$A$26,0))</f>
        <v>East</v>
      </c>
      <c r="G161" s="28" t="n">
        <f aca="false">B161+INDEX(Setup!$C$13:$C$26,MATCH(C161,Setup!$A$13:$A$26,0))</f>
        <v>46245</v>
      </c>
      <c r="H161" s="29" t="n">
        <f aca="false">SUMIFS(Collections!$E$6:$E$2000,Collections!$C$6:$C$2000,A161)</f>
        <v>131780</v>
      </c>
      <c r="I161" s="44" t="n">
        <f aca="false">E161-H161</f>
        <v>0</v>
      </c>
      <c r="J161" s="31" t="str">
        <f aca="false">IF(I161&gt;Setup!$B$9,Setup!$B$5-G161,"")</f>
        <v/>
      </c>
      <c r="K161" s="8" t="str">
        <f aca="false">IF(I161&lt;=Setup!$B$9,"Settled",IF(J161&lt;=0,"Not yet due",IF(J161&lt;=30,"1-30 days",IF(J161&lt;=60,"31-60 days",IF(J161&lt;=90,"61-90 days","Over 90 days")))))</f>
        <v>Settled</v>
      </c>
    </row>
    <row r="162" customFormat="false" ht="15" hidden="false" customHeight="false" outlineLevel="0" collapsed="false">
      <c r="A162" s="5" t="s">
        <v>279</v>
      </c>
      <c r="B162" s="41" t="n">
        <v>46202</v>
      </c>
      <c r="C162" s="5" t="s">
        <v>109</v>
      </c>
      <c r="D162" s="5" t="s">
        <v>120</v>
      </c>
      <c r="E162" s="43" t="n">
        <v>128582</v>
      </c>
      <c r="F162" s="27" t="str">
        <f aca="false">INDEX(Setup!$B$13:$B$26,MATCH(C162,Setup!$A$13:$A$26,0))</f>
        <v>South</v>
      </c>
      <c r="G162" s="28" t="n">
        <f aca="false">B162+INDEX(Setup!$C$13:$C$26,MATCH(C162,Setup!$A$13:$A$26,0))</f>
        <v>46247</v>
      </c>
      <c r="H162" s="29" t="n">
        <f aca="false">SUMIFS(Collections!$E$6:$E$2000,Collections!$C$6:$C$2000,A162)</f>
        <v>85667</v>
      </c>
      <c r="I162" s="44" t="n">
        <f aca="false">E162-H162</f>
        <v>42915</v>
      </c>
      <c r="J162" s="31" t="n">
        <f aca="false">IF(I162&gt;Setup!$B$9,Setup!$B$5-G162,"")</f>
        <v>48</v>
      </c>
      <c r="K162" s="8" t="str">
        <f aca="false">IF(I162&lt;=Setup!$B$9,"Settled",IF(J162&lt;=0,"Not yet due",IF(J162&lt;=30,"1-30 days",IF(J162&lt;=60,"31-60 days",IF(J162&lt;=90,"61-90 days","Over 90 days")))))</f>
        <v>31-60 days</v>
      </c>
    </row>
    <row r="163" customFormat="false" ht="15" hidden="false" customHeight="false" outlineLevel="0" collapsed="false">
      <c r="A163" s="5" t="s">
        <v>280</v>
      </c>
      <c r="B163" s="41" t="n">
        <v>46202</v>
      </c>
      <c r="C163" s="5" t="s">
        <v>90</v>
      </c>
      <c r="D163" s="5" t="s">
        <v>120</v>
      </c>
      <c r="E163" s="43" t="n">
        <v>223793</v>
      </c>
      <c r="F163" s="27" t="str">
        <f aca="false">INDEX(Setup!$B$13:$B$26,MATCH(C163,Setup!$A$13:$A$26,0))</f>
        <v>East</v>
      </c>
      <c r="G163" s="28" t="n">
        <f aca="false">B163+INDEX(Setup!$C$13:$C$26,MATCH(C163,Setup!$A$13:$A$26,0))</f>
        <v>46232</v>
      </c>
      <c r="H163" s="29" t="n">
        <f aca="false">SUMIFS(Collections!$E$6:$E$2000,Collections!$C$6:$C$2000,A163)</f>
        <v>223793</v>
      </c>
      <c r="I163" s="44" t="n">
        <f aca="false">E163-H163</f>
        <v>0</v>
      </c>
      <c r="J163" s="31" t="str">
        <f aca="false">IF(I163&gt;Setup!$B$9,Setup!$B$5-G163,"")</f>
        <v/>
      </c>
      <c r="K163" s="8" t="str">
        <f aca="false">IF(I163&lt;=Setup!$B$9,"Settled",IF(J163&lt;=0,"Not yet due",IF(J163&lt;=30,"1-30 days",IF(J163&lt;=60,"31-60 days",IF(J163&lt;=90,"61-90 days","Over 90 days")))))</f>
        <v>Settled</v>
      </c>
    </row>
    <row r="164" customFormat="false" ht="15" hidden="false" customHeight="false" outlineLevel="0" collapsed="false">
      <c r="A164" s="5" t="s">
        <v>281</v>
      </c>
      <c r="B164" s="41" t="n">
        <v>46202</v>
      </c>
      <c r="C164" s="5" t="s">
        <v>105</v>
      </c>
      <c r="D164" s="5" t="s">
        <v>122</v>
      </c>
      <c r="E164" s="43" t="n">
        <v>355859</v>
      </c>
      <c r="F164" s="27" t="str">
        <f aca="false">INDEX(Setup!$B$13:$B$26,MATCH(C164,Setup!$A$13:$A$26,0))</f>
        <v>South</v>
      </c>
      <c r="G164" s="28" t="n">
        <f aca="false">B164+INDEX(Setup!$C$13:$C$26,MATCH(C164,Setup!$A$13:$A$26,0))</f>
        <v>46232</v>
      </c>
      <c r="H164" s="29" t="n">
        <f aca="false">SUMIFS(Collections!$E$6:$E$2000,Collections!$C$6:$C$2000,A164)</f>
        <v>355859</v>
      </c>
      <c r="I164" s="44" t="n">
        <f aca="false">E164-H164</f>
        <v>0</v>
      </c>
      <c r="J164" s="31" t="str">
        <f aca="false">IF(I164&gt;Setup!$B$9,Setup!$B$5-G164,"")</f>
        <v/>
      </c>
      <c r="K164" s="8" t="str">
        <f aca="false">IF(I164&lt;=Setup!$B$9,"Settled",IF(J164&lt;=0,"Not yet due",IF(J164&lt;=30,"1-30 days",IF(J164&lt;=60,"31-60 days",IF(J164&lt;=90,"61-90 days","Over 90 days")))))</f>
        <v>Settled</v>
      </c>
    </row>
    <row r="165" customFormat="false" ht="15" hidden="false" customHeight="false" outlineLevel="0" collapsed="false">
      <c r="A165" s="5" t="s">
        <v>282</v>
      </c>
      <c r="B165" s="41" t="n">
        <v>46203</v>
      </c>
      <c r="C165" s="5" t="s">
        <v>97</v>
      </c>
      <c r="D165" s="5" t="s">
        <v>122</v>
      </c>
      <c r="E165" s="43" t="n">
        <v>197046</v>
      </c>
      <c r="F165" s="27" t="str">
        <f aca="false">INDEX(Setup!$B$13:$B$26,MATCH(C165,Setup!$A$13:$A$26,0))</f>
        <v>West</v>
      </c>
      <c r="G165" s="28" t="n">
        <f aca="false">B165+INDEX(Setup!$C$13:$C$26,MATCH(C165,Setup!$A$13:$A$26,0))</f>
        <v>46233</v>
      </c>
      <c r="H165" s="29" t="n">
        <f aca="false">SUMIFS(Collections!$E$6:$E$2000,Collections!$C$6:$C$2000,A165)</f>
        <v>197046</v>
      </c>
      <c r="I165" s="44" t="n">
        <f aca="false">E165-H165</f>
        <v>0</v>
      </c>
      <c r="J165" s="31" t="str">
        <f aca="false">IF(I165&gt;Setup!$B$9,Setup!$B$5-G165,"")</f>
        <v/>
      </c>
      <c r="K165" s="8" t="str">
        <f aca="false">IF(I165&lt;=Setup!$B$9,"Settled",IF(J165&lt;=0,"Not yet due",IF(J165&lt;=30,"1-30 days",IF(J165&lt;=60,"31-60 days",IF(J165&lt;=90,"61-90 days","Over 90 days")))))</f>
        <v>Settled</v>
      </c>
    </row>
    <row r="166" customFormat="false" ht="15" hidden="false" customHeight="false" outlineLevel="0" collapsed="false">
      <c r="A166" s="5" t="s">
        <v>283</v>
      </c>
      <c r="B166" s="41" t="n">
        <v>46204</v>
      </c>
      <c r="C166" s="5" t="s">
        <v>103</v>
      </c>
      <c r="D166" s="5" t="s">
        <v>133</v>
      </c>
      <c r="E166" s="43" t="n">
        <v>57935</v>
      </c>
      <c r="F166" s="27" t="str">
        <f aca="false">INDEX(Setup!$B$13:$B$26,MATCH(C166,Setup!$A$13:$A$26,0))</f>
        <v>North</v>
      </c>
      <c r="G166" s="28" t="n">
        <f aca="false">B166+INDEX(Setup!$C$13:$C$26,MATCH(C166,Setup!$A$13:$A$26,0))</f>
        <v>46234</v>
      </c>
      <c r="H166" s="29" t="n">
        <f aca="false">SUMIFS(Collections!$E$6:$E$2000,Collections!$C$6:$C$2000,A166)</f>
        <v>57935</v>
      </c>
      <c r="I166" s="44" t="n">
        <f aca="false">E166-H166</f>
        <v>0</v>
      </c>
      <c r="J166" s="31" t="str">
        <f aca="false">IF(I166&gt;Setup!$B$9,Setup!$B$5-G166,"")</f>
        <v/>
      </c>
      <c r="K166" s="8" t="str">
        <f aca="false">IF(I166&lt;=Setup!$B$9,"Settled",IF(J166&lt;=0,"Not yet due",IF(J166&lt;=30,"1-30 days",IF(J166&lt;=60,"31-60 days",IF(J166&lt;=90,"61-90 days","Over 90 days")))))</f>
        <v>Settled</v>
      </c>
    </row>
    <row r="167" customFormat="false" ht="15" hidden="false" customHeight="false" outlineLevel="0" collapsed="false">
      <c r="A167" s="5" t="s">
        <v>284</v>
      </c>
      <c r="B167" s="41" t="n">
        <v>46204</v>
      </c>
      <c r="C167" s="5" t="s">
        <v>99</v>
      </c>
      <c r="D167" s="5" t="s">
        <v>122</v>
      </c>
      <c r="E167" s="43" t="n">
        <v>78156</v>
      </c>
      <c r="F167" s="27" t="str">
        <f aca="false">INDEX(Setup!$B$13:$B$26,MATCH(C167,Setup!$A$13:$A$26,0))</f>
        <v>West</v>
      </c>
      <c r="G167" s="28" t="n">
        <f aca="false">B167+INDEX(Setup!$C$13:$C$26,MATCH(C167,Setup!$A$13:$A$26,0))</f>
        <v>46249</v>
      </c>
      <c r="H167" s="29" t="n">
        <f aca="false">SUMIFS(Collections!$E$6:$E$2000,Collections!$C$6:$C$2000,A167)</f>
        <v>78156</v>
      </c>
      <c r="I167" s="44" t="n">
        <f aca="false">E167-H167</f>
        <v>0</v>
      </c>
      <c r="J167" s="31" t="str">
        <f aca="false">IF(I167&gt;Setup!$B$9,Setup!$B$5-G167,"")</f>
        <v/>
      </c>
      <c r="K167" s="8" t="str">
        <f aca="false">IF(I167&lt;=Setup!$B$9,"Settled",IF(J167&lt;=0,"Not yet due",IF(J167&lt;=30,"1-30 days",IF(J167&lt;=60,"31-60 days",IF(J167&lt;=90,"61-90 days","Over 90 days")))))</f>
        <v>Settled</v>
      </c>
    </row>
    <row r="168" customFormat="false" ht="15" hidden="false" customHeight="false" outlineLevel="0" collapsed="false">
      <c r="A168" s="5" t="s">
        <v>285</v>
      </c>
      <c r="B168" s="41" t="n">
        <v>46205</v>
      </c>
      <c r="C168" s="5" t="s">
        <v>108</v>
      </c>
      <c r="D168" s="5" t="s">
        <v>128</v>
      </c>
      <c r="E168" s="43" t="n">
        <v>429166</v>
      </c>
      <c r="F168" s="27" t="str">
        <f aca="false">INDEX(Setup!$B$13:$B$26,MATCH(C168,Setup!$A$13:$A$26,0))</f>
        <v>South</v>
      </c>
      <c r="G168" s="28" t="n">
        <f aca="false">B168+INDEX(Setup!$C$13:$C$26,MATCH(C168,Setup!$A$13:$A$26,0))</f>
        <v>46235</v>
      </c>
      <c r="H168" s="29" t="n">
        <f aca="false">SUMIFS(Collections!$E$6:$E$2000,Collections!$C$6:$C$2000,A168)</f>
        <v>429166</v>
      </c>
      <c r="I168" s="44" t="n">
        <f aca="false">E168-H168</f>
        <v>0</v>
      </c>
      <c r="J168" s="31" t="str">
        <f aca="false">IF(I168&gt;Setup!$B$9,Setup!$B$5-G168,"")</f>
        <v/>
      </c>
      <c r="K168" s="8" t="str">
        <f aca="false">IF(I168&lt;=Setup!$B$9,"Settled",IF(J168&lt;=0,"Not yet due",IF(J168&lt;=30,"1-30 days",IF(J168&lt;=60,"31-60 days",IF(J168&lt;=90,"61-90 days","Over 90 days")))))</f>
        <v>Settled</v>
      </c>
    </row>
    <row r="169" customFormat="false" ht="15" hidden="false" customHeight="false" outlineLevel="0" collapsed="false">
      <c r="A169" s="5" t="s">
        <v>286</v>
      </c>
      <c r="B169" s="41" t="n">
        <v>46205</v>
      </c>
      <c r="C169" s="5" t="s">
        <v>104</v>
      </c>
      <c r="D169" s="5" t="s">
        <v>122</v>
      </c>
      <c r="E169" s="43" t="n">
        <v>382127</v>
      </c>
      <c r="F169" s="27" t="str">
        <f aca="false">INDEX(Setup!$B$13:$B$26,MATCH(C169,Setup!$A$13:$A$26,0))</f>
        <v>North</v>
      </c>
      <c r="G169" s="28" t="n">
        <f aca="false">B169+INDEX(Setup!$C$13:$C$26,MATCH(C169,Setup!$A$13:$A$26,0))</f>
        <v>46250</v>
      </c>
      <c r="H169" s="29" t="n">
        <f aca="false">SUMIFS(Collections!$E$6:$E$2000,Collections!$C$6:$C$2000,A169)</f>
        <v>0</v>
      </c>
      <c r="I169" s="44" t="n">
        <f aca="false">E169-H169</f>
        <v>382127</v>
      </c>
      <c r="J169" s="31" t="n">
        <f aca="false">IF(I169&gt;Setup!$B$9,Setup!$B$5-G169,"")</f>
        <v>45</v>
      </c>
      <c r="K169" s="8" t="str">
        <f aca="false">IF(I169&lt;=Setup!$B$9,"Settled",IF(J169&lt;=0,"Not yet due",IF(J169&lt;=30,"1-30 days",IF(J169&lt;=60,"31-60 days",IF(J169&lt;=90,"61-90 days","Over 90 days")))))</f>
        <v>31-60 days</v>
      </c>
    </row>
    <row r="170" customFormat="false" ht="15" hidden="false" customHeight="false" outlineLevel="0" collapsed="false">
      <c r="A170" s="5" t="s">
        <v>287</v>
      </c>
      <c r="B170" s="41" t="n">
        <v>46207</v>
      </c>
      <c r="C170" s="5" t="s">
        <v>87</v>
      </c>
      <c r="D170" s="5" t="s">
        <v>122</v>
      </c>
      <c r="E170" s="43" t="n">
        <v>417652</v>
      </c>
      <c r="F170" s="27" t="str">
        <f aca="false">INDEX(Setup!$B$13:$B$26,MATCH(C170,Setup!$A$13:$A$26,0))</f>
        <v>East</v>
      </c>
      <c r="G170" s="28" t="n">
        <f aca="false">B170+INDEX(Setup!$C$13:$C$26,MATCH(C170,Setup!$A$13:$A$26,0))</f>
        <v>46237</v>
      </c>
      <c r="H170" s="29" t="n">
        <f aca="false">SUMIFS(Collections!$E$6:$E$2000,Collections!$C$6:$C$2000,A170)</f>
        <v>417652</v>
      </c>
      <c r="I170" s="44" t="n">
        <f aca="false">E170-H170</f>
        <v>0</v>
      </c>
      <c r="J170" s="31" t="str">
        <f aca="false">IF(I170&gt;Setup!$B$9,Setup!$B$5-G170,"")</f>
        <v/>
      </c>
      <c r="K170" s="8" t="str">
        <f aca="false">IF(I170&lt;=Setup!$B$9,"Settled",IF(J170&lt;=0,"Not yet due",IF(J170&lt;=30,"1-30 days",IF(J170&lt;=60,"31-60 days",IF(J170&lt;=90,"61-90 days","Over 90 days")))))</f>
        <v>Settled</v>
      </c>
    </row>
    <row r="171" customFormat="false" ht="15" hidden="false" customHeight="false" outlineLevel="0" collapsed="false">
      <c r="A171" s="5" t="s">
        <v>288</v>
      </c>
      <c r="B171" s="41" t="n">
        <v>46207</v>
      </c>
      <c r="C171" s="5" t="s">
        <v>97</v>
      </c>
      <c r="D171" s="5" t="s">
        <v>120</v>
      </c>
      <c r="E171" s="43" t="n">
        <v>390829</v>
      </c>
      <c r="F171" s="27" t="str">
        <f aca="false">INDEX(Setup!$B$13:$B$26,MATCH(C171,Setup!$A$13:$A$26,0))</f>
        <v>West</v>
      </c>
      <c r="G171" s="28" t="n">
        <f aca="false">B171+INDEX(Setup!$C$13:$C$26,MATCH(C171,Setup!$A$13:$A$26,0))</f>
        <v>46237</v>
      </c>
      <c r="H171" s="29" t="n">
        <f aca="false">SUMIFS(Collections!$E$6:$E$2000,Collections!$C$6:$C$2000,A171)</f>
        <v>390829</v>
      </c>
      <c r="I171" s="44" t="n">
        <f aca="false">E171-H171</f>
        <v>0</v>
      </c>
      <c r="J171" s="31" t="str">
        <f aca="false">IF(I171&gt;Setup!$B$9,Setup!$B$5-G171,"")</f>
        <v/>
      </c>
      <c r="K171" s="8" t="str">
        <f aca="false">IF(I171&lt;=Setup!$B$9,"Settled",IF(J171&lt;=0,"Not yet due",IF(J171&lt;=30,"1-30 days",IF(J171&lt;=60,"31-60 days",IF(J171&lt;=90,"61-90 days","Over 90 days")))))</f>
        <v>Settled</v>
      </c>
    </row>
    <row r="172" customFormat="false" ht="15" hidden="false" customHeight="false" outlineLevel="0" collapsed="false">
      <c r="A172" s="5" t="s">
        <v>289</v>
      </c>
      <c r="B172" s="41" t="n">
        <v>46209</v>
      </c>
      <c r="C172" s="5" t="s">
        <v>107</v>
      </c>
      <c r="D172" s="5" t="s">
        <v>122</v>
      </c>
      <c r="E172" s="43" t="n">
        <v>495110</v>
      </c>
      <c r="F172" s="27" t="str">
        <f aca="false">INDEX(Setup!$B$13:$B$26,MATCH(C172,Setup!$A$13:$A$26,0))</f>
        <v>South</v>
      </c>
      <c r="G172" s="28" t="n">
        <f aca="false">B172+INDEX(Setup!$C$13:$C$26,MATCH(C172,Setup!$A$13:$A$26,0))</f>
        <v>46239</v>
      </c>
      <c r="H172" s="29" t="n">
        <f aca="false">SUMIFS(Collections!$E$6:$E$2000,Collections!$C$6:$C$2000,A172)</f>
        <v>495110</v>
      </c>
      <c r="I172" s="44" t="n">
        <f aca="false">E172-H172</f>
        <v>0</v>
      </c>
      <c r="J172" s="31" t="str">
        <f aca="false">IF(I172&gt;Setup!$B$9,Setup!$B$5-G172,"")</f>
        <v/>
      </c>
      <c r="K172" s="8" t="str">
        <f aca="false">IF(I172&lt;=Setup!$B$9,"Settled",IF(J172&lt;=0,"Not yet due",IF(J172&lt;=30,"1-30 days",IF(J172&lt;=60,"31-60 days",IF(J172&lt;=90,"61-90 days","Over 90 days")))))</f>
        <v>Settled</v>
      </c>
    </row>
    <row r="173" customFormat="false" ht="15" hidden="false" customHeight="false" outlineLevel="0" collapsed="false">
      <c r="A173" s="5" t="s">
        <v>290</v>
      </c>
      <c r="B173" s="41" t="n">
        <v>46209</v>
      </c>
      <c r="C173" s="5" t="s">
        <v>102</v>
      </c>
      <c r="D173" s="5" t="s">
        <v>133</v>
      </c>
      <c r="E173" s="43" t="n">
        <v>257217</v>
      </c>
      <c r="F173" s="27" t="str">
        <f aca="false">INDEX(Setup!$B$13:$B$26,MATCH(C173,Setup!$A$13:$A$26,0))</f>
        <v>North</v>
      </c>
      <c r="G173" s="28" t="n">
        <f aca="false">B173+INDEX(Setup!$C$13:$C$26,MATCH(C173,Setup!$A$13:$A$26,0))</f>
        <v>46239</v>
      </c>
      <c r="H173" s="29" t="n">
        <f aca="false">SUMIFS(Collections!$E$6:$E$2000,Collections!$C$6:$C$2000,A173)</f>
        <v>257217</v>
      </c>
      <c r="I173" s="44" t="n">
        <f aca="false">E173-H173</f>
        <v>0</v>
      </c>
      <c r="J173" s="31" t="str">
        <f aca="false">IF(I173&gt;Setup!$B$9,Setup!$B$5-G173,"")</f>
        <v/>
      </c>
      <c r="K173" s="8" t="str">
        <f aca="false">IF(I173&lt;=Setup!$B$9,"Settled",IF(J173&lt;=0,"Not yet due",IF(J173&lt;=30,"1-30 days",IF(J173&lt;=60,"31-60 days",IF(J173&lt;=90,"61-90 days","Over 90 days")))))</f>
        <v>Settled</v>
      </c>
    </row>
    <row r="174" customFormat="false" ht="15" hidden="false" customHeight="false" outlineLevel="0" collapsed="false">
      <c r="A174" s="5" t="s">
        <v>291</v>
      </c>
      <c r="B174" s="41" t="n">
        <v>46210</v>
      </c>
      <c r="C174" s="5" t="s">
        <v>97</v>
      </c>
      <c r="D174" s="5" t="s">
        <v>128</v>
      </c>
      <c r="E174" s="43" t="n">
        <v>207871</v>
      </c>
      <c r="F174" s="27" t="str">
        <f aca="false">INDEX(Setup!$B$13:$B$26,MATCH(C174,Setup!$A$13:$A$26,0))</f>
        <v>West</v>
      </c>
      <c r="G174" s="28" t="n">
        <f aca="false">B174+INDEX(Setup!$C$13:$C$26,MATCH(C174,Setup!$A$13:$A$26,0))</f>
        <v>46240</v>
      </c>
      <c r="H174" s="29" t="n">
        <f aca="false">SUMIFS(Collections!$E$6:$E$2000,Collections!$C$6:$C$2000,A174)</f>
        <v>207871</v>
      </c>
      <c r="I174" s="44" t="n">
        <f aca="false">E174-H174</f>
        <v>0</v>
      </c>
      <c r="J174" s="31" t="str">
        <f aca="false">IF(I174&gt;Setup!$B$9,Setup!$B$5-G174,"")</f>
        <v/>
      </c>
      <c r="K174" s="8" t="str">
        <f aca="false">IF(I174&lt;=Setup!$B$9,"Settled",IF(J174&lt;=0,"Not yet due",IF(J174&lt;=30,"1-30 days",IF(J174&lt;=60,"31-60 days",IF(J174&lt;=90,"61-90 days","Over 90 days")))))</f>
        <v>Settled</v>
      </c>
    </row>
    <row r="175" customFormat="false" ht="15" hidden="false" customHeight="false" outlineLevel="0" collapsed="false">
      <c r="A175" s="5" t="s">
        <v>292</v>
      </c>
      <c r="B175" s="41" t="n">
        <v>46211</v>
      </c>
      <c r="C175" s="5" t="s">
        <v>107</v>
      </c>
      <c r="D175" s="5" t="s">
        <v>122</v>
      </c>
      <c r="E175" s="43" t="n">
        <v>141379</v>
      </c>
      <c r="F175" s="27" t="str">
        <f aca="false">INDEX(Setup!$B$13:$B$26,MATCH(C175,Setup!$A$13:$A$26,0))</f>
        <v>South</v>
      </c>
      <c r="G175" s="28" t="n">
        <f aca="false">B175+INDEX(Setup!$C$13:$C$26,MATCH(C175,Setup!$A$13:$A$26,0))</f>
        <v>46241</v>
      </c>
      <c r="H175" s="29" t="n">
        <f aca="false">SUMIFS(Collections!$E$6:$E$2000,Collections!$C$6:$C$2000,A175)</f>
        <v>141379</v>
      </c>
      <c r="I175" s="44" t="n">
        <f aca="false">E175-H175</f>
        <v>0</v>
      </c>
      <c r="J175" s="31" t="str">
        <f aca="false">IF(I175&gt;Setup!$B$9,Setup!$B$5-G175,"")</f>
        <v/>
      </c>
      <c r="K175" s="8" t="str">
        <f aca="false">IF(I175&lt;=Setup!$B$9,"Settled",IF(J175&lt;=0,"Not yet due",IF(J175&lt;=30,"1-30 days",IF(J175&lt;=60,"31-60 days",IF(J175&lt;=90,"61-90 days","Over 90 days")))))</f>
        <v>Settled</v>
      </c>
    </row>
    <row r="176" customFormat="false" ht="15" hidden="false" customHeight="false" outlineLevel="0" collapsed="false">
      <c r="A176" s="5" t="s">
        <v>293</v>
      </c>
      <c r="B176" s="41" t="n">
        <v>46212</v>
      </c>
      <c r="C176" s="5" t="s">
        <v>94</v>
      </c>
      <c r="D176" s="5" t="s">
        <v>122</v>
      </c>
      <c r="E176" s="43" t="n">
        <v>272573</v>
      </c>
      <c r="F176" s="27" t="str">
        <f aca="false">INDEX(Setup!$B$13:$B$26,MATCH(C176,Setup!$A$13:$A$26,0))</f>
        <v>West</v>
      </c>
      <c r="G176" s="28" t="n">
        <f aca="false">B176+INDEX(Setup!$C$13:$C$26,MATCH(C176,Setup!$A$13:$A$26,0))</f>
        <v>46242</v>
      </c>
      <c r="H176" s="29" t="n">
        <f aca="false">SUMIFS(Collections!$E$6:$E$2000,Collections!$C$6:$C$2000,A176)</f>
        <v>267121</v>
      </c>
      <c r="I176" s="44" t="n">
        <f aca="false">E176-H176</f>
        <v>5452</v>
      </c>
      <c r="J176" s="31" t="n">
        <f aca="false">IF(I176&gt;Setup!$B$9,Setup!$B$5-G176,"")</f>
        <v>53</v>
      </c>
      <c r="K176" s="8" t="str">
        <f aca="false">IF(I176&lt;=Setup!$B$9,"Settled",IF(J176&lt;=0,"Not yet due",IF(J176&lt;=30,"1-30 days",IF(J176&lt;=60,"31-60 days",IF(J176&lt;=90,"61-90 days","Over 90 days")))))</f>
        <v>31-60 days</v>
      </c>
    </row>
    <row r="177" customFormat="false" ht="15" hidden="false" customHeight="false" outlineLevel="0" collapsed="false">
      <c r="A177" s="5" t="s">
        <v>294</v>
      </c>
      <c r="B177" s="41" t="n">
        <v>46213</v>
      </c>
      <c r="C177" s="5" t="s">
        <v>99</v>
      </c>
      <c r="D177" s="5" t="s">
        <v>122</v>
      </c>
      <c r="E177" s="43" t="n">
        <v>256413</v>
      </c>
      <c r="F177" s="27" t="str">
        <f aca="false">INDEX(Setup!$B$13:$B$26,MATCH(C177,Setup!$A$13:$A$26,0))</f>
        <v>West</v>
      </c>
      <c r="G177" s="28" t="n">
        <f aca="false">B177+INDEX(Setup!$C$13:$C$26,MATCH(C177,Setup!$A$13:$A$26,0))</f>
        <v>46258</v>
      </c>
      <c r="H177" s="29" t="n">
        <f aca="false">SUMIFS(Collections!$E$6:$E$2000,Collections!$C$6:$C$2000,A177)</f>
        <v>256413</v>
      </c>
      <c r="I177" s="44" t="n">
        <f aca="false">E177-H177</f>
        <v>0</v>
      </c>
      <c r="J177" s="31" t="str">
        <f aca="false">IF(I177&gt;Setup!$B$9,Setup!$B$5-G177,"")</f>
        <v/>
      </c>
      <c r="K177" s="8" t="str">
        <f aca="false">IF(I177&lt;=Setup!$B$9,"Settled",IF(J177&lt;=0,"Not yet due",IF(J177&lt;=30,"1-30 days",IF(J177&lt;=60,"31-60 days",IF(J177&lt;=90,"61-90 days","Over 90 days")))))</f>
        <v>Settled</v>
      </c>
    </row>
    <row r="178" customFormat="false" ht="15" hidden="false" customHeight="false" outlineLevel="0" collapsed="false">
      <c r="A178" s="5" t="s">
        <v>295</v>
      </c>
      <c r="B178" s="41" t="n">
        <v>46213</v>
      </c>
      <c r="C178" s="5" t="s">
        <v>100</v>
      </c>
      <c r="D178" s="5" t="s">
        <v>122</v>
      </c>
      <c r="E178" s="43" t="n">
        <v>340421</v>
      </c>
      <c r="F178" s="27" t="str">
        <f aca="false">INDEX(Setup!$B$13:$B$26,MATCH(C178,Setup!$A$13:$A$26,0))</f>
        <v>North</v>
      </c>
      <c r="G178" s="28" t="n">
        <f aca="false">B178+INDEX(Setup!$C$13:$C$26,MATCH(C178,Setup!$A$13:$A$26,0))</f>
        <v>46243</v>
      </c>
      <c r="H178" s="29" t="n">
        <f aca="false">SUMIFS(Collections!$E$6:$E$2000,Collections!$C$6:$C$2000,A178)</f>
        <v>340421</v>
      </c>
      <c r="I178" s="44" t="n">
        <f aca="false">E178-H178</f>
        <v>0</v>
      </c>
      <c r="J178" s="31" t="str">
        <f aca="false">IF(I178&gt;Setup!$B$9,Setup!$B$5-G178,"")</f>
        <v/>
      </c>
      <c r="K178" s="8" t="str">
        <f aca="false">IF(I178&lt;=Setup!$B$9,"Settled",IF(J178&lt;=0,"Not yet due",IF(J178&lt;=30,"1-30 days",IF(J178&lt;=60,"31-60 days",IF(J178&lt;=90,"61-90 days","Over 90 days")))))</f>
        <v>Settled</v>
      </c>
    </row>
    <row r="179" customFormat="false" ht="15" hidden="false" customHeight="false" outlineLevel="0" collapsed="false">
      <c r="A179" s="5" t="s">
        <v>296</v>
      </c>
      <c r="B179" s="41" t="n">
        <v>46215</v>
      </c>
      <c r="C179" s="5" t="s">
        <v>92</v>
      </c>
      <c r="D179" s="5" t="s">
        <v>133</v>
      </c>
      <c r="E179" s="43" t="n">
        <v>305683</v>
      </c>
      <c r="F179" s="27" t="str">
        <f aca="false">INDEX(Setup!$B$13:$B$26,MATCH(C179,Setup!$A$13:$A$26,0))</f>
        <v>East</v>
      </c>
      <c r="G179" s="28" t="n">
        <f aca="false">B179+INDEX(Setup!$C$13:$C$26,MATCH(C179,Setup!$A$13:$A$26,0))</f>
        <v>46260</v>
      </c>
      <c r="H179" s="29" t="n">
        <f aca="false">SUMIFS(Collections!$E$6:$E$2000,Collections!$C$6:$C$2000,A179)</f>
        <v>305683</v>
      </c>
      <c r="I179" s="44" t="n">
        <f aca="false">E179-H179</f>
        <v>0</v>
      </c>
      <c r="J179" s="31" t="str">
        <f aca="false">IF(I179&gt;Setup!$B$9,Setup!$B$5-G179,"")</f>
        <v/>
      </c>
      <c r="K179" s="8" t="str">
        <f aca="false">IF(I179&lt;=Setup!$B$9,"Settled",IF(J179&lt;=0,"Not yet due",IF(J179&lt;=30,"1-30 days",IF(J179&lt;=60,"31-60 days",IF(J179&lt;=90,"61-90 days","Over 90 days")))))</f>
        <v>Settled</v>
      </c>
    </row>
    <row r="180" customFormat="false" ht="15" hidden="false" customHeight="false" outlineLevel="0" collapsed="false">
      <c r="A180" s="5" t="s">
        <v>297</v>
      </c>
      <c r="B180" s="41" t="n">
        <v>46216</v>
      </c>
      <c r="C180" s="5" t="s">
        <v>100</v>
      </c>
      <c r="D180" s="5" t="s">
        <v>133</v>
      </c>
      <c r="E180" s="43" t="n">
        <v>151164</v>
      </c>
      <c r="F180" s="27" t="str">
        <f aca="false">INDEX(Setup!$B$13:$B$26,MATCH(C180,Setup!$A$13:$A$26,0))</f>
        <v>North</v>
      </c>
      <c r="G180" s="28" t="n">
        <f aca="false">B180+INDEX(Setup!$C$13:$C$26,MATCH(C180,Setup!$A$13:$A$26,0))</f>
        <v>46246</v>
      </c>
      <c r="H180" s="29" t="n">
        <f aca="false">SUMIFS(Collections!$E$6:$E$2000,Collections!$C$6:$C$2000,A180)</f>
        <v>151164</v>
      </c>
      <c r="I180" s="44" t="n">
        <f aca="false">E180-H180</f>
        <v>0</v>
      </c>
      <c r="J180" s="31" t="str">
        <f aca="false">IF(I180&gt;Setup!$B$9,Setup!$B$5-G180,"")</f>
        <v/>
      </c>
      <c r="K180" s="8" t="str">
        <f aca="false">IF(I180&lt;=Setup!$B$9,"Settled",IF(J180&lt;=0,"Not yet due",IF(J180&lt;=30,"1-30 days",IF(J180&lt;=60,"31-60 days",IF(J180&lt;=90,"61-90 days","Over 90 days")))))</f>
        <v>Settled</v>
      </c>
    </row>
    <row r="181" customFormat="false" ht="15" hidden="false" customHeight="false" outlineLevel="0" collapsed="false">
      <c r="A181" s="5" t="s">
        <v>298</v>
      </c>
      <c r="B181" s="41" t="n">
        <v>46217</v>
      </c>
      <c r="C181" s="5" t="s">
        <v>100</v>
      </c>
      <c r="D181" s="5" t="s">
        <v>133</v>
      </c>
      <c r="E181" s="43" t="n">
        <v>513625</v>
      </c>
      <c r="F181" s="27" t="str">
        <f aca="false">INDEX(Setup!$B$13:$B$26,MATCH(C181,Setup!$A$13:$A$26,0))</f>
        <v>North</v>
      </c>
      <c r="G181" s="28" t="n">
        <f aca="false">B181+INDEX(Setup!$C$13:$C$26,MATCH(C181,Setup!$A$13:$A$26,0))</f>
        <v>46247</v>
      </c>
      <c r="H181" s="29" t="n">
        <f aca="false">SUMIFS(Collections!$E$6:$E$2000,Collections!$C$6:$C$2000,A181)</f>
        <v>513625</v>
      </c>
      <c r="I181" s="44" t="n">
        <f aca="false">E181-H181</f>
        <v>0</v>
      </c>
      <c r="J181" s="31" t="str">
        <f aca="false">IF(I181&gt;Setup!$B$9,Setup!$B$5-G181,"")</f>
        <v/>
      </c>
      <c r="K181" s="8" t="str">
        <f aca="false">IF(I181&lt;=Setup!$B$9,"Settled",IF(J181&lt;=0,"Not yet due",IF(J181&lt;=30,"1-30 days",IF(J181&lt;=60,"31-60 days",IF(J181&lt;=90,"61-90 days","Over 90 days")))))</f>
        <v>Settled</v>
      </c>
    </row>
    <row r="182" customFormat="false" ht="15" hidden="false" customHeight="false" outlineLevel="0" collapsed="false">
      <c r="A182" s="5" t="s">
        <v>299</v>
      </c>
      <c r="B182" s="41" t="n">
        <v>46217</v>
      </c>
      <c r="C182" s="5" t="s">
        <v>109</v>
      </c>
      <c r="D182" s="5" t="s">
        <v>122</v>
      </c>
      <c r="E182" s="43" t="n">
        <v>214287</v>
      </c>
      <c r="F182" s="27" t="str">
        <f aca="false">INDEX(Setup!$B$13:$B$26,MATCH(C182,Setup!$A$13:$A$26,0))</f>
        <v>South</v>
      </c>
      <c r="G182" s="28" t="n">
        <f aca="false">B182+INDEX(Setup!$C$13:$C$26,MATCH(C182,Setup!$A$13:$A$26,0))</f>
        <v>46262</v>
      </c>
      <c r="H182" s="29" t="n">
        <f aca="false">SUMIFS(Collections!$E$6:$E$2000,Collections!$C$6:$C$2000,A182)</f>
        <v>214287</v>
      </c>
      <c r="I182" s="44" t="n">
        <f aca="false">E182-H182</f>
        <v>0</v>
      </c>
      <c r="J182" s="31" t="str">
        <f aca="false">IF(I182&gt;Setup!$B$9,Setup!$B$5-G182,"")</f>
        <v/>
      </c>
      <c r="K182" s="8" t="str">
        <f aca="false">IF(I182&lt;=Setup!$B$9,"Settled",IF(J182&lt;=0,"Not yet due",IF(J182&lt;=30,"1-30 days",IF(J182&lt;=60,"31-60 days",IF(J182&lt;=90,"61-90 days","Over 90 days")))))</f>
        <v>Settled</v>
      </c>
    </row>
    <row r="183" customFormat="false" ht="15" hidden="false" customHeight="false" outlineLevel="0" collapsed="false">
      <c r="A183" s="5" t="s">
        <v>300</v>
      </c>
      <c r="B183" s="41" t="n">
        <v>46218</v>
      </c>
      <c r="C183" s="5" t="s">
        <v>94</v>
      </c>
      <c r="D183" s="5" t="s">
        <v>122</v>
      </c>
      <c r="E183" s="43" t="n">
        <v>487180</v>
      </c>
      <c r="F183" s="27" t="str">
        <f aca="false">INDEX(Setup!$B$13:$B$26,MATCH(C183,Setup!$A$13:$A$26,0))</f>
        <v>West</v>
      </c>
      <c r="G183" s="28" t="n">
        <f aca="false">B183+INDEX(Setup!$C$13:$C$26,MATCH(C183,Setup!$A$13:$A$26,0))</f>
        <v>46248</v>
      </c>
      <c r="H183" s="29" t="n">
        <f aca="false">SUMIFS(Collections!$E$6:$E$2000,Collections!$C$6:$C$2000,A183)</f>
        <v>487180</v>
      </c>
      <c r="I183" s="44" t="n">
        <f aca="false">E183-H183</f>
        <v>0</v>
      </c>
      <c r="J183" s="31" t="str">
        <f aca="false">IF(I183&gt;Setup!$B$9,Setup!$B$5-G183,"")</f>
        <v/>
      </c>
      <c r="K183" s="8" t="str">
        <f aca="false">IF(I183&lt;=Setup!$B$9,"Settled",IF(J183&lt;=0,"Not yet due",IF(J183&lt;=30,"1-30 days",IF(J183&lt;=60,"31-60 days",IF(J183&lt;=90,"61-90 days","Over 90 days")))))</f>
        <v>Settled</v>
      </c>
    </row>
    <row r="184" customFormat="false" ht="15" hidden="false" customHeight="false" outlineLevel="0" collapsed="false">
      <c r="A184" s="5" t="s">
        <v>301</v>
      </c>
      <c r="B184" s="41" t="n">
        <v>46218</v>
      </c>
      <c r="C184" s="5" t="s">
        <v>94</v>
      </c>
      <c r="D184" s="5" t="s">
        <v>128</v>
      </c>
      <c r="E184" s="43" t="n">
        <v>301870</v>
      </c>
      <c r="F184" s="27" t="str">
        <f aca="false">INDEX(Setup!$B$13:$B$26,MATCH(C184,Setup!$A$13:$A$26,0))</f>
        <v>West</v>
      </c>
      <c r="G184" s="28" t="n">
        <f aca="false">B184+INDEX(Setup!$C$13:$C$26,MATCH(C184,Setup!$A$13:$A$26,0))</f>
        <v>46248</v>
      </c>
      <c r="H184" s="29" t="n">
        <f aca="false">SUMIFS(Collections!$E$6:$E$2000,Collections!$C$6:$C$2000,A184)</f>
        <v>301870</v>
      </c>
      <c r="I184" s="44" t="n">
        <f aca="false">E184-H184</f>
        <v>0</v>
      </c>
      <c r="J184" s="31" t="str">
        <f aca="false">IF(I184&gt;Setup!$B$9,Setup!$B$5-G184,"")</f>
        <v/>
      </c>
      <c r="K184" s="8" t="str">
        <f aca="false">IF(I184&lt;=Setup!$B$9,"Settled",IF(J184&lt;=0,"Not yet due",IF(J184&lt;=30,"1-30 days",IF(J184&lt;=60,"31-60 days",IF(J184&lt;=90,"61-90 days","Over 90 days")))))</f>
        <v>Settled</v>
      </c>
    </row>
    <row r="185" customFormat="false" ht="15" hidden="false" customHeight="false" outlineLevel="0" collapsed="false">
      <c r="A185" s="5" t="s">
        <v>302</v>
      </c>
      <c r="B185" s="41" t="n">
        <v>46219</v>
      </c>
      <c r="C185" s="5" t="s">
        <v>87</v>
      </c>
      <c r="D185" s="5" t="s">
        <v>122</v>
      </c>
      <c r="E185" s="43" t="n">
        <v>239093</v>
      </c>
      <c r="F185" s="27" t="str">
        <f aca="false">INDEX(Setup!$B$13:$B$26,MATCH(C185,Setup!$A$13:$A$26,0))</f>
        <v>East</v>
      </c>
      <c r="G185" s="28" t="n">
        <f aca="false">B185+INDEX(Setup!$C$13:$C$26,MATCH(C185,Setup!$A$13:$A$26,0))</f>
        <v>46249</v>
      </c>
      <c r="H185" s="29" t="n">
        <f aca="false">SUMIFS(Collections!$E$6:$E$2000,Collections!$C$6:$C$2000,A185)</f>
        <v>239093</v>
      </c>
      <c r="I185" s="44" t="n">
        <f aca="false">E185-H185</f>
        <v>0</v>
      </c>
      <c r="J185" s="31" t="str">
        <f aca="false">IF(I185&gt;Setup!$B$9,Setup!$B$5-G185,"")</f>
        <v/>
      </c>
      <c r="K185" s="8" t="str">
        <f aca="false">IF(I185&lt;=Setup!$B$9,"Settled",IF(J185&lt;=0,"Not yet due",IF(J185&lt;=30,"1-30 days",IF(J185&lt;=60,"31-60 days",IF(J185&lt;=90,"61-90 days","Over 90 days")))))</f>
        <v>Settled</v>
      </c>
    </row>
    <row r="186" customFormat="false" ht="15" hidden="false" customHeight="false" outlineLevel="0" collapsed="false">
      <c r="A186" s="5" t="s">
        <v>303</v>
      </c>
      <c r="B186" s="41" t="n">
        <v>46219</v>
      </c>
      <c r="C186" s="5" t="s">
        <v>100</v>
      </c>
      <c r="D186" s="5" t="s">
        <v>122</v>
      </c>
      <c r="E186" s="43" t="n">
        <v>525949</v>
      </c>
      <c r="F186" s="27" t="str">
        <f aca="false">INDEX(Setup!$B$13:$B$26,MATCH(C186,Setup!$A$13:$A$26,0))</f>
        <v>North</v>
      </c>
      <c r="G186" s="28" t="n">
        <f aca="false">B186+INDEX(Setup!$C$13:$C$26,MATCH(C186,Setup!$A$13:$A$26,0))</f>
        <v>46249</v>
      </c>
      <c r="H186" s="29" t="n">
        <f aca="false">SUMIFS(Collections!$E$6:$E$2000,Collections!$C$6:$C$2000,A186)</f>
        <v>525949</v>
      </c>
      <c r="I186" s="44" t="n">
        <f aca="false">E186-H186</f>
        <v>0</v>
      </c>
      <c r="J186" s="31" t="str">
        <f aca="false">IF(I186&gt;Setup!$B$9,Setup!$B$5-G186,"")</f>
        <v/>
      </c>
      <c r="K186" s="8" t="str">
        <f aca="false">IF(I186&lt;=Setup!$B$9,"Settled",IF(J186&lt;=0,"Not yet due",IF(J186&lt;=30,"1-30 days",IF(J186&lt;=60,"31-60 days",IF(J186&lt;=90,"61-90 days","Over 90 days")))))</f>
        <v>Settled</v>
      </c>
    </row>
    <row r="187" customFormat="false" ht="15" hidden="false" customHeight="false" outlineLevel="0" collapsed="false">
      <c r="A187" s="5" t="s">
        <v>304</v>
      </c>
      <c r="B187" s="41" t="n">
        <v>46219</v>
      </c>
      <c r="C187" s="5" t="s">
        <v>90</v>
      </c>
      <c r="D187" s="5" t="s">
        <v>122</v>
      </c>
      <c r="E187" s="43" t="n">
        <v>74807</v>
      </c>
      <c r="F187" s="27" t="str">
        <f aca="false">INDEX(Setup!$B$13:$B$26,MATCH(C187,Setup!$A$13:$A$26,0))</f>
        <v>East</v>
      </c>
      <c r="G187" s="28" t="n">
        <f aca="false">B187+INDEX(Setup!$C$13:$C$26,MATCH(C187,Setup!$A$13:$A$26,0))</f>
        <v>46249</v>
      </c>
      <c r="H187" s="29" t="n">
        <f aca="false">SUMIFS(Collections!$E$6:$E$2000,Collections!$C$6:$C$2000,A187)</f>
        <v>74807</v>
      </c>
      <c r="I187" s="44" t="n">
        <f aca="false">E187-H187</f>
        <v>0</v>
      </c>
      <c r="J187" s="31" t="str">
        <f aca="false">IF(I187&gt;Setup!$B$9,Setup!$B$5-G187,"")</f>
        <v/>
      </c>
      <c r="K187" s="8" t="str">
        <f aca="false">IF(I187&lt;=Setup!$B$9,"Settled",IF(J187&lt;=0,"Not yet due",IF(J187&lt;=30,"1-30 days",IF(J187&lt;=60,"31-60 days",IF(J187&lt;=90,"61-90 days","Over 90 days")))))</f>
        <v>Settled</v>
      </c>
    </row>
    <row r="188" customFormat="false" ht="15" hidden="false" customHeight="false" outlineLevel="0" collapsed="false">
      <c r="A188" s="5" t="s">
        <v>305</v>
      </c>
      <c r="B188" s="41" t="n">
        <v>46220</v>
      </c>
      <c r="C188" s="5" t="s">
        <v>108</v>
      </c>
      <c r="D188" s="5" t="s">
        <v>128</v>
      </c>
      <c r="E188" s="43" t="n">
        <v>399984</v>
      </c>
      <c r="F188" s="27" t="str">
        <f aca="false">INDEX(Setup!$B$13:$B$26,MATCH(C188,Setup!$A$13:$A$26,0))</f>
        <v>South</v>
      </c>
      <c r="G188" s="28" t="n">
        <f aca="false">B188+INDEX(Setup!$C$13:$C$26,MATCH(C188,Setup!$A$13:$A$26,0))</f>
        <v>46250</v>
      </c>
      <c r="H188" s="29" t="n">
        <f aca="false">SUMIFS(Collections!$E$6:$E$2000,Collections!$C$6:$C$2000,A188)</f>
        <v>399984</v>
      </c>
      <c r="I188" s="44" t="n">
        <f aca="false">E188-H188</f>
        <v>0</v>
      </c>
      <c r="J188" s="31" t="str">
        <f aca="false">IF(I188&gt;Setup!$B$9,Setup!$B$5-G188,"")</f>
        <v/>
      </c>
      <c r="K188" s="8" t="str">
        <f aca="false">IF(I188&lt;=Setup!$B$9,"Settled",IF(J188&lt;=0,"Not yet due",IF(J188&lt;=30,"1-30 days",IF(J188&lt;=60,"31-60 days",IF(J188&lt;=90,"61-90 days","Over 90 days")))))</f>
        <v>Settled</v>
      </c>
    </row>
    <row r="189" customFormat="false" ht="15" hidden="false" customHeight="false" outlineLevel="0" collapsed="false">
      <c r="A189" s="5" t="s">
        <v>306</v>
      </c>
      <c r="B189" s="41" t="n">
        <v>46221</v>
      </c>
      <c r="C189" s="5" t="s">
        <v>87</v>
      </c>
      <c r="D189" s="5" t="s">
        <v>122</v>
      </c>
      <c r="E189" s="43" t="n">
        <v>419961</v>
      </c>
      <c r="F189" s="27" t="str">
        <f aca="false">INDEX(Setup!$B$13:$B$26,MATCH(C189,Setup!$A$13:$A$26,0))</f>
        <v>East</v>
      </c>
      <c r="G189" s="28" t="n">
        <f aca="false">B189+INDEX(Setup!$C$13:$C$26,MATCH(C189,Setup!$A$13:$A$26,0))</f>
        <v>46251</v>
      </c>
      <c r="H189" s="29" t="n">
        <f aca="false">SUMIFS(Collections!$E$6:$E$2000,Collections!$C$6:$C$2000,A189)</f>
        <v>419961</v>
      </c>
      <c r="I189" s="44" t="n">
        <f aca="false">E189-H189</f>
        <v>0</v>
      </c>
      <c r="J189" s="31" t="str">
        <f aca="false">IF(I189&gt;Setup!$B$9,Setup!$B$5-G189,"")</f>
        <v/>
      </c>
      <c r="K189" s="8" t="str">
        <f aca="false">IF(I189&lt;=Setup!$B$9,"Settled",IF(J189&lt;=0,"Not yet due",IF(J189&lt;=30,"1-30 days",IF(J189&lt;=60,"31-60 days",IF(J189&lt;=90,"61-90 days","Over 90 days")))))</f>
        <v>Settled</v>
      </c>
    </row>
    <row r="190" customFormat="false" ht="15" hidden="false" customHeight="false" outlineLevel="0" collapsed="false">
      <c r="A190" s="5" t="s">
        <v>307</v>
      </c>
      <c r="B190" s="41" t="n">
        <v>46222</v>
      </c>
      <c r="C190" s="5" t="s">
        <v>92</v>
      </c>
      <c r="D190" s="5" t="s">
        <v>120</v>
      </c>
      <c r="E190" s="43" t="n">
        <v>67058</v>
      </c>
      <c r="F190" s="27" t="str">
        <f aca="false">INDEX(Setup!$B$13:$B$26,MATCH(C190,Setup!$A$13:$A$26,0))</f>
        <v>East</v>
      </c>
      <c r="G190" s="28" t="n">
        <f aca="false">B190+INDEX(Setup!$C$13:$C$26,MATCH(C190,Setup!$A$13:$A$26,0))</f>
        <v>46267</v>
      </c>
      <c r="H190" s="29" t="n">
        <f aca="false">SUMIFS(Collections!$E$6:$E$2000,Collections!$C$6:$C$2000,A190)</f>
        <v>46620</v>
      </c>
      <c r="I190" s="44" t="n">
        <f aca="false">E190-H190</f>
        <v>20438</v>
      </c>
      <c r="J190" s="31" t="n">
        <f aca="false">IF(I190&gt;Setup!$B$9,Setup!$B$5-G190,"")</f>
        <v>28</v>
      </c>
      <c r="K190" s="8" t="str">
        <f aca="false">IF(I190&lt;=Setup!$B$9,"Settled",IF(J190&lt;=0,"Not yet due",IF(J190&lt;=30,"1-30 days",IF(J190&lt;=60,"31-60 days",IF(J190&lt;=90,"61-90 days","Over 90 days")))))</f>
        <v>1-30 days</v>
      </c>
    </row>
    <row r="191" customFormat="false" ht="15" hidden="false" customHeight="false" outlineLevel="0" collapsed="false">
      <c r="A191" s="5" t="s">
        <v>308</v>
      </c>
      <c r="B191" s="41" t="n">
        <v>46223</v>
      </c>
      <c r="C191" s="5" t="s">
        <v>97</v>
      </c>
      <c r="D191" s="5" t="s">
        <v>122</v>
      </c>
      <c r="E191" s="43" t="n">
        <v>88613</v>
      </c>
      <c r="F191" s="27" t="str">
        <f aca="false">INDEX(Setup!$B$13:$B$26,MATCH(C191,Setup!$A$13:$A$26,0))</f>
        <v>West</v>
      </c>
      <c r="G191" s="28" t="n">
        <f aca="false">B191+INDEX(Setup!$C$13:$C$26,MATCH(C191,Setup!$A$13:$A$26,0))</f>
        <v>46253</v>
      </c>
      <c r="H191" s="29" t="n">
        <f aca="false">SUMIFS(Collections!$E$6:$E$2000,Collections!$C$6:$C$2000,A191)</f>
        <v>88613</v>
      </c>
      <c r="I191" s="44" t="n">
        <f aca="false">E191-H191</f>
        <v>0</v>
      </c>
      <c r="J191" s="31" t="str">
        <f aca="false">IF(I191&gt;Setup!$B$9,Setup!$B$5-G191,"")</f>
        <v/>
      </c>
      <c r="K191" s="8" t="str">
        <f aca="false">IF(I191&lt;=Setup!$B$9,"Settled",IF(J191&lt;=0,"Not yet due",IF(J191&lt;=30,"1-30 days",IF(J191&lt;=60,"31-60 days",IF(J191&lt;=90,"61-90 days","Over 90 days")))))</f>
        <v>Settled</v>
      </c>
    </row>
    <row r="192" customFormat="false" ht="15" hidden="false" customHeight="false" outlineLevel="0" collapsed="false">
      <c r="A192" s="5" t="s">
        <v>309</v>
      </c>
      <c r="B192" s="41" t="n">
        <v>46225</v>
      </c>
      <c r="C192" s="5" t="s">
        <v>100</v>
      </c>
      <c r="D192" s="5" t="s">
        <v>122</v>
      </c>
      <c r="E192" s="43" t="n">
        <v>243701</v>
      </c>
      <c r="F192" s="27" t="str">
        <f aca="false">INDEX(Setup!$B$13:$B$26,MATCH(C192,Setup!$A$13:$A$26,0))</f>
        <v>North</v>
      </c>
      <c r="G192" s="28" t="n">
        <f aca="false">B192+INDEX(Setup!$C$13:$C$26,MATCH(C192,Setup!$A$13:$A$26,0))</f>
        <v>46255</v>
      </c>
      <c r="H192" s="29" t="n">
        <f aca="false">SUMIFS(Collections!$E$6:$E$2000,Collections!$C$6:$C$2000,A192)</f>
        <v>243701</v>
      </c>
      <c r="I192" s="44" t="n">
        <f aca="false">E192-H192</f>
        <v>0</v>
      </c>
      <c r="J192" s="31" t="str">
        <f aca="false">IF(I192&gt;Setup!$B$9,Setup!$B$5-G192,"")</f>
        <v/>
      </c>
      <c r="K192" s="8" t="str">
        <f aca="false">IF(I192&lt;=Setup!$B$9,"Settled",IF(J192&lt;=0,"Not yet due",IF(J192&lt;=30,"1-30 days",IF(J192&lt;=60,"31-60 days",IF(J192&lt;=90,"61-90 days","Over 90 days")))))</f>
        <v>Settled</v>
      </c>
    </row>
    <row r="193" customFormat="false" ht="15" hidden="false" customHeight="false" outlineLevel="0" collapsed="false">
      <c r="A193" s="5" t="s">
        <v>310</v>
      </c>
      <c r="B193" s="41" t="n">
        <v>46225</v>
      </c>
      <c r="C193" s="5" t="s">
        <v>87</v>
      </c>
      <c r="D193" s="5" t="s">
        <v>128</v>
      </c>
      <c r="E193" s="43" t="n">
        <v>211441</v>
      </c>
      <c r="F193" s="27" t="str">
        <f aca="false">INDEX(Setup!$B$13:$B$26,MATCH(C193,Setup!$A$13:$A$26,0))</f>
        <v>East</v>
      </c>
      <c r="G193" s="28" t="n">
        <f aca="false">B193+INDEX(Setup!$C$13:$C$26,MATCH(C193,Setup!$A$13:$A$26,0))</f>
        <v>46255</v>
      </c>
      <c r="H193" s="29" t="n">
        <f aca="false">SUMIFS(Collections!$E$6:$E$2000,Collections!$C$6:$C$2000,A193)</f>
        <v>211441</v>
      </c>
      <c r="I193" s="44" t="n">
        <f aca="false">E193-H193</f>
        <v>0</v>
      </c>
      <c r="J193" s="31" t="str">
        <f aca="false">IF(I193&gt;Setup!$B$9,Setup!$B$5-G193,"")</f>
        <v/>
      </c>
      <c r="K193" s="8" t="str">
        <f aca="false">IF(I193&lt;=Setup!$B$9,"Settled",IF(J193&lt;=0,"Not yet due",IF(J193&lt;=30,"1-30 days",IF(J193&lt;=60,"31-60 days",IF(J193&lt;=90,"61-90 days","Over 90 days")))))</f>
        <v>Settled</v>
      </c>
    </row>
    <row r="194" customFormat="false" ht="15" hidden="false" customHeight="false" outlineLevel="0" collapsed="false">
      <c r="A194" s="5" t="s">
        <v>311</v>
      </c>
      <c r="B194" s="41" t="n">
        <v>46226</v>
      </c>
      <c r="C194" s="5" t="s">
        <v>97</v>
      </c>
      <c r="D194" s="5" t="s">
        <v>128</v>
      </c>
      <c r="E194" s="43" t="n">
        <v>208633</v>
      </c>
      <c r="F194" s="27" t="str">
        <f aca="false">INDEX(Setup!$B$13:$B$26,MATCH(C194,Setup!$A$13:$A$26,0))</f>
        <v>West</v>
      </c>
      <c r="G194" s="28" t="n">
        <f aca="false">B194+INDEX(Setup!$C$13:$C$26,MATCH(C194,Setup!$A$13:$A$26,0))</f>
        <v>46256</v>
      </c>
      <c r="H194" s="29" t="n">
        <f aca="false">SUMIFS(Collections!$E$6:$E$2000,Collections!$C$6:$C$2000,A194)</f>
        <v>208633</v>
      </c>
      <c r="I194" s="44" t="n">
        <f aca="false">E194-H194</f>
        <v>0</v>
      </c>
      <c r="J194" s="31" t="str">
        <f aca="false">IF(I194&gt;Setup!$B$9,Setup!$B$5-G194,"")</f>
        <v/>
      </c>
      <c r="K194" s="8" t="str">
        <f aca="false">IF(I194&lt;=Setup!$B$9,"Settled",IF(J194&lt;=0,"Not yet due",IF(J194&lt;=30,"1-30 days",IF(J194&lt;=60,"31-60 days",IF(J194&lt;=90,"61-90 days","Over 90 days")))))</f>
        <v>Settled</v>
      </c>
    </row>
    <row r="195" customFormat="false" ht="15" hidden="false" customHeight="false" outlineLevel="0" collapsed="false">
      <c r="A195" s="5" t="s">
        <v>312</v>
      </c>
      <c r="B195" s="41" t="n">
        <v>46226</v>
      </c>
      <c r="C195" s="5" t="s">
        <v>97</v>
      </c>
      <c r="D195" s="5" t="s">
        <v>128</v>
      </c>
      <c r="E195" s="43" t="n">
        <v>77375</v>
      </c>
      <c r="F195" s="27" t="str">
        <f aca="false">INDEX(Setup!$B$13:$B$26,MATCH(C195,Setup!$A$13:$A$26,0))</f>
        <v>West</v>
      </c>
      <c r="G195" s="28" t="n">
        <f aca="false">B195+INDEX(Setup!$C$13:$C$26,MATCH(C195,Setup!$A$13:$A$26,0))</f>
        <v>46256</v>
      </c>
      <c r="H195" s="29" t="n">
        <f aca="false">SUMIFS(Collections!$E$6:$E$2000,Collections!$C$6:$C$2000,A195)</f>
        <v>77375</v>
      </c>
      <c r="I195" s="44" t="n">
        <f aca="false">E195-H195</f>
        <v>0</v>
      </c>
      <c r="J195" s="31" t="str">
        <f aca="false">IF(I195&gt;Setup!$B$9,Setup!$B$5-G195,"")</f>
        <v/>
      </c>
      <c r="K195" s="8" t="str">
        <f aca="false">IF(I195&lt;=Setup!$B$9,"Settled",IF(J195&lt;=0,"Not yet due",IF(J195&lt;=30,"1-30 days",IF(J195&lt;=60,"31-60 days",IF(J195&lt;=90,"61-90 days","Over 90 days")))))</f>
        <v>Settled</v>
      </c>
    </row>
    <row r="196" customFormat="false" ht="15" hidden="false" customHeight="false" outlineLevel="0" collapsed="false">
      <c r="A196" s="5" t="s">
        <v>313</v>
      </c>
      <c r="B196" s="41" t="n">
        <v>46227</v>
      </c>
      <c r="C196" s="5" t="s">
        <v>109</v>
      </c>
      <c r="D196" s="5" t="s">
        <v>133</v>
      </c>
      <c r="E196" s="43" t="n">
        <v>196239</v>
      </c>
      <c r="F196" s="27" t="str">
        <f aca="false">INDEX(Setup!$B$13:$B$26,MATCH(C196,Setup!$A$13:$A$26,0))</f>
        <v>South</v>
      </c>
      <c r="G196" s="28" t="n">
        <f aca="false">B196+INDEX(Setup!$C$13:$C$26,MATCH(C196,Setup!$A$13:$A$26,0))</f>
        <v>46272</v>
      </c>
      <c r="H196" s="29" t="n">
        <f aca="false">SUMIFS(Collections!$E$6:$E$2000,Collections!$C$6:$C$2000,A196)</f>
        <v>0</v>
      </c>
      <c r="I196" s="44" t="n">
        <f aca="false">E196-H196</f>
        <v>196239</v>
      </c>
      <c r="J196" s="31" t="n">
        <f aca="false">IF(I196&gt;Setup!$B$9,Setup!$B$5-G196,"")</f>
        <v>23</v>
      </c>
      <c r="K196" s="8" t="str">
        <f aca="false">IF(I196&lt;=Setup!$B$9,"Settled",IF(J196&lt;=0,"Not yet due",IF(J196&lt;=30,"1-30 days",IF(J196&lt;=60,"31-60 days",IF(J196&lt;=90,"61-90 days","Over 90 days")))))</f>
        <v>1-30 days</v>
      </c>
    </row>
    <row r="197" customFormat="false" ht="15" hidden="false" customHeight="false" outlineLevel="0" collapsed="false">
      <c r="A197" s="5" t="s">
        <v>314</v>
      </c>
      <c r="B197" s="41" t="n">
        <v>46230</v>
      </c>
      <c r="C197" s="5" t="s">
        <v>108</v>
      </c>
      <c r="D197" s="5" t="s">
        <v>133</v>
      </c>
      <c r="E197" s="43" t="n">
        <v>238357</v>
      </c>
      <c r="F197" s="27" t="str">
        <f aca="false">INDEX(Setup!$B$13:$B$26,MATCH(C197,Setup!$A$13:$A$26,0))</f>
        <v>South</v>
      </c>
      <c r="G197" s="28" t="n">
        <f aca="false">B197+INDEX(Setup!$C$13:$C$26,MATCH(C197,Setup!$A$13:$A$26,0))</f>
        <v>46260</v>
      </c>
      <c r="H197" s="29" t="n">
        <f aca="false">SUMIFS(Collections!$E$6:$E$2000,Collections!$C$6:$C$2000,A197)</f>
        <v>238357</v>
      </c>
      <c r="I197" s="44" t="n">
        <f aca="false">E197-H197</f>
        <v>0</v>
      </c>
      <c r="J197" s="31" t="str">
        <f aca="false">IF(I197&gt;Setup!$B$9,Setup!$B$5-G197,"")</f>
        <v/>
      </c>
      <c r="K197" s="8" t="str">
        <f aca="false">IF(I197&lt;=Setup!$B$9,"Settled",IF(J197&lt;=0,"Not yet due",IF(J197&lt;=30,"1-30 days",IF(J197&lt;=60,"31-60 days",IF(J197&lt;=90,"61-90 days","Over 90 days")))))</f>
        <v>Settled</v>
      </c>
    </row>
    <row r="198" customFormat="false" ht="15" hidden="false" customHeight="false" outlineLevel="0" collapsed="false">
      <c r="A198" s="5" t="s">
        <v>315</v>
      </c>
      <c r="B198" s="41" t="n">
        <v>46230</v>
      </c>
      <c r="C198" s="5" t="s">
        <v>108</v>
      </c>
      <c r="D198" s="5" t="s">
        <v>122</v>
      </c>
      <c r="E198" s="43" t="n">
        <v>393227</v>
      </c>
      <c r="F198" s="27" t="str">
        <f aca="false">INDEX(Setup!$B$13:$B$26,MATCH(C198,Setup!$A$13:$A$26,0))</f>
        <v>South</v>
      </c>
      <c r="G198" s="28" t="n">
        <f aca="false">B198+INDEX(Setup!$C$13:$C$26,MATCH(C198,Setup!$A$13:$A$26,0))</f>
        <v>46260</v>
      </c>
      <c r="H198" s="29" t="n">
        <f aca="false">SUMIFS(Collections!$E$6:$E$2000,Collections!$C$6:$C$2000,A198)</f>
        <v>393227</v>
      </c>
      <c r="I198" s="44" t="n">
        <f aca="false">E198-H198</f>
        <v>0</v>
      </c>
      <c r="J198" s="31" t="str">
        <f aca="false">IF(I198&gt;Setup!$B$9,Setup!$B$5-G198,"")</f>
        <v/>
      </c>
      <c r="K198" s="8" t="str">
        <f aca="false">IF(I198&lt;=Setup!$B$9,"Settled",IF(J198&lt;=0,"Not yet due",IF(J198&lt;=30,"1-30 days",IF(J198&lt;=60,"31-60 days",IF(J198&lt;=90,"61-90 days","Over 90 days")))))</f>
        <v>Settled</v>
      </c>
    </row>
    <row r="199" customFormat="false" ht="15" hidden="false" customHeight="false" outlineLevel="0" collapsed="false">
      <c r="A199" s="5" t="s">
        <v>316</v>
      </c>
      <c r="B199" s="41" t="n">
        <v>46230</v>
      </c>
      <c r="C199" s="5" t="s">
        <v>87</v>
      </c>
      <c r="D199" s="5" t="s">
        <v>122</v>
      </c>
      <c r="E199" s="43" t="n">
        <v>275724</v>
      </c>
      <c r="F199" s="27" t="str">
        <f aca="false">INDEX(Setup!$B$13:$B$26,MATCH(C199,Setup!$A$13:$A$26,0))</f>
        <v>East</v>
      </c>
      <c r="G199" s="28" t="n">
        <f aca="false">B199+INDEX(Setup!$C$13:$C$26,MATCH(C199,Setup!$A$13:$A$26,0))</f>
        <v>46260</v>
      </c>
      <c r="H199" s="29" t="n">
        <f aca="false">SUMIFS(Collections!$E$6:$E$2000,Collections!$C$6:$C$2000,A199)</f>
        <v>275724</v>
      </c>
      <c r="I199" s="44" t="n">
        <f aca="false">E199-H199</f>
        <v>0</v>
      </c>
      <c r="J199" s="31" t="str">
        <f aca="false">IF(I199&gt;Setup!$B$9,Setup!$B$5-G199,"")</f>
        <v/>
      </c>
      <c r="K199" s="8" t="str">
        <f aca="false">IF(I199&lt;=Setup!$B$9,"Settled",IF(J199&lt;=0,"Not yet due",IF(J199&lt;=30,"1-30 days",IF(J199&lt;=60,"31-60 days",IF(J199&lt;=90,"61-90 days","Over 90 days")))))</f>
        <v>Settled</v>
      </c>
    </row>
    <row r="200" customFormat="false" ht="15" hidden="false" customHeight="false" outlineLevel="0" collapsed="false">
      <c r="A200" s="5" t="s">
        <v>317</v>
      </c>
      <c r="B200" s="41" t="n">
        <v>46231</v>
      </c>
      <c r="C200" s="5" t="s">
        <v>107</v>
      </c>
      <c r="D200" s="5" t="s">
        <v>133</v>
      </c>
      <c r="E200" s="43" t="n">
        <v>439817</v>
      </c>
      <c r="F200" s="27" t="str">
        <f aca="false">INDEX(Setup!$B$13:$B$26,MATCH(C200,Setup!$A$13:$A$26,0))</f>
        <v>South</v>
      </c>
      <c r="G200" s="28" t="n">
        <f aca="false">B200+INDEX(Setup!$C$13:$C$26,MATCH(C200,Setup!$A$13:$A$26,0))</f>
        <v>46261</v>
      </c>
      <c r="H200" s="29" t="n">
        <f aca="false">SUMIFS(Collections!$E$6:$E$2000,Collections!$C$6:$C$2000,A200)</f>
        <v>439817</v>
      </c>
      <c r="I200" s="44" t="n">
        <f aca="false">E200-H200</f>
        <v>0</v>
      </c>
      <c r="J200" s="31" t="str">
        <f aca="false">IF(I200&gt;Setup!$B$9,Setup!$B$5-G200,"")</f>
        <v/>
      </c>
      <c r="K200" s="8" t="str">
        <f aca="false">IF(I200&lt;=Setup!$B$9,"Settled",IF(J200&lt;=0,"Not yet due",IF(J200&lt;=30,"1-30 days",IF(J200&lt;=60,"31-60 days",IF(J200&lt;=90,"61-90 days","Over 90 days")))))</f>
        <v>Settled</v>
      </c>
    </row>
    <row r="201" customFormat="false" ht="15" hidden="false" customHeight="false" outlineLevel="0" collapsed="false">
      <c r="A201" s="5" t="s">
        <v>318</v>
      </c>
      <c r="B201" s="41" t="n">
        <v>46231</v>
      </c>
      <c r="C201" s="5" t="s">
        <v>94</v>
      </c>
      <c r="D201" s="5" t="s">
        <v>120</v>
      </c>
      <c r="E201" s="43" t="n">
        <v>451887</v>
      </c>
      <c r="F201" s="27" t="str">
        <f aca="false">INDEX(Setup!$B$13:$B$26,MATCH(C201,Setup!$A$13:$A$26,0))</f>
        <v>West</v>
      </c>
      <c r="G201" s="28" t="n">
        <f aca="false">B201+INDEX(Setup!$C$13:$C$26,MATCH(C201,Setup!$A$13:$A$26,0))</f>
        <v>46261</v>
      </c>
      <c r="H201" s="29" t="n">
        <f aca="false">SUMIFS(Collections!$E$6:$E$2000,Collections!$C$6:$C$2000,A201)</f>
        <v>451887</v>
      </c>
      <c r="I201" s="44" t="n">
        <f aca="false">E201-H201</f>
        <v>0</v>
      </c>
      <c r="J201" s="31" t="str">
        <f aca="false">IF(I201&gt;Setup!$B$9,Setup!$B$5-G201,"")</f>
        <v/>
      </c>
      <c r="K201" s="8" t="str">
        <f aca="false">IF(I201&lt;=Setup!$B$9,"Settled",IF(J201&lt;=0,"Not yet due",IF(J201&lt;=30,"1-30 days",IF(J201&lt;=60,"31-60 days",IF(J201&lt;=90,"61-90 days","Over 90 days")))))</f>
        <v>Settled</v>
      </c>
    </row>
    <row r="202" customFormat="false" ht="15" hidden="false" customHeight="false" outlineLevel="0" collapsed="false">
      <c r="A202" s="5" t="s">
        <v>319</v>
      </c>
      <c r="B202" s="41" t="n">
        <v>46232</v>
      </c>
      <c r="C202" s="5" t="s">
        <v>102</v>
      </c>
      <c r="D202" s="5" t="s">
        <v>122</v>
      </c>
      <c r="E202" s="43" t="n">
        <v>311135</v>
      </c>
      <c r="F202" s="27" t="str">
        <f aca="false">INDEX(Setup!$B$13:$B$26,MATCH(C202,Setup!$A$13:$A$26,0))</f>
        <v>North</v>
      </c>
      <c r="G202" s="28" t="n">
        <f aca="false">B202+INDEX(Setup!$C$13:$C$26,MATCH(C202,Setup!$A$13:$A$26,0))</f>
        <v>46262</v>
      </c>
      <c r="H202" s="29" t="n">
        <f aca="false">SUMIFS(Collections!$E$6:$E$2000,Collections!$C$6:$C$2000,A202)</f>
        <v>304912</v>
      </c>
      <c r="I202" s="44" t="n">
        <f aca="false">E202-H202</f>
        <v>6223</v>
      </c>
      <c r="J202" s="31" t="n">
        <f aca="false">IF(I202&gt;Setup!$B$9,Setup!$B$5-G202,"")</f>
        <v>33</v>
      </c>
      <c r="K202" s="8" t="str">
        <f aca="false">IF(I202&lt;=Setup!$B$9,"Settled",IF(J202&lt;=0,"Not yet due",IF(J202&lt;=30,"1-30 days",IF(J202&lt;=60,"31-60 days",IF(J202&lt;=90,"61-90 days","Over 90 days")))))</f>
        <v>31-60 days</v>
      </c>
    </row>
    <row r="203" customFormat="false" ht="15" hidden="false" customHeight="false" outlineLevel="0" collapsed="false">
      <c r="A203" s="5" t="s">
        <v>320</v>
      </c>
      <c r="B203" s="41" t="n">
        <v>46233</v>
      </c>
      <c r="C203" s="5" t="s">
        <v>108</v>
      </c>
      <c r="D203" s="5" t="s">
        <v>122</v>
      </c>
      <c r="E203" s="43" t="n">
        <v>383775</v>
      </c>
      <c r="F203" s="27" t="str">
        <f aca="false">INDEX(Setup!$B$13:$B$26,MATCH(C203,Setup!$A$13:$A$26,0))</f>
        <v>South</v>
      </c>
      <c r="G203" s="28" t="n">
        <f aca="false">B203+INDEX(Setup!$C$13:$C$26,MATCH(C203,Setup!$A$13:$A$26,0))</f>
        <v>46263</v>
      </c>
      <c r="H203" s="29" t="n">
        <f aca="false">SUMIFS(Collections!$E$6:$E$2000,Collections!$C$6:$C$2000,A203)</f>
        <v>383775</v>
      </c>
      <c r="I203" s="44" t="n">
        <f aca="false">E203-H203</f>
        <v>0</v>
      </c>
      <c r="J203" s="31" t="str">
        <f aca="false">IF(I203&gt;Setup!$B$9,Setup!$B$5-G203,"")</f>
        <v/>
      </c>
      <c r="K203" s="8" t="str">
        <f aca="false">IF(I203&lt;=Setup!$B$9,"Settled",IF(J203&lt;=0,"Not yet due",IF(J203&lt;=30,"1-30 days",IF(J203&lt;=60,"31-60 days",IF(J203&lt;=90,"61-90 days","Over 90 days")))))</f>
        <v>Settled</v>
      </c>
    </row>
    <row r="204" customFormat="false" ht="15" hidden="false" customHeight="false" outlineLevel="0" collapsed="false">
      <c r="A204" s="5" t="s">
        <v>321</v>
      </c>
      <c r="B204" s="41" t="n">
        <v>46233</v>
      </c>
      <c r="C204" s="5" t="s">
        <v>100</v>
      </c>
      <c r="D204" s="5" t="s">
        <v>120</v>
      </c>
      <c r="E204" s="43" t="n">
        <v>232692</v>
      </c>
      <c r="F204" s="27" t="str">
        <f aca="false">INDEX(Setup!$B$13:$B$26,MATCH(C204,Setup!$A$13:$A$26,0))</f>
        <v>North</v>
      </c>
      <c r="G204" s="28" t="n">
        <f aca="false">B204+INDEX(Setup!$C$13:$C$26,MATCH(C204,Setup!$A$13:$A$26,0))</f>
        <v>46263</v>
      </c>
      <c r="H204" s="29" t="n">
        <f aca="false">SUMIFS(Collections!$E$6:$E$2000,Collections!$C$6:$C$2000,A204)</f>
        <v>232692</v>
      </c>
      <c r="I204" s="44" t="n">
        <f aca="false">E204-H204</f>
        <v>0</v>
      </c>
      <c r="J204" s="31" t="str">
        <f aca="false">IF(I204&gt;Setup!$B$9,Setup!$B$5-G204,"")</f>
        <v/>
      </c>
      <c r="K204" s="8" t="str">
        <f aca="false">IF(I204&lt;=Setup!$B$9,"Settled",IF(J204&lt;=0,"Not yet due",IF(J204&lt;=30,"1-30 days",IF(J204&lt;=60,"31-60 days",IF(J204&lt;=90,"61-90 days","Over 90 days")))))</f>
        <v>Settled</v>
      </c>
    </row>
    <row r="205" customFormat="false" ht="15" hidden="false" customHeight="false" outlineLevel="0" collapsed="false">
      <c r="A205" s="5" t="s">
        <v>322</v>
      </c>
      <c r="B205" s="41" t="n">
        <v>46234</v>
      </c>
      <c r="C205" s="5" t="s">
        <v>100</v>
      </c>
      <c r="D205" s="5" t="s">
        <v>133</v>
      </c>
      <c r="E205" s="43" t="n">
        <v>569701</v>
      </c>
      <c r="F205" s="27" t="str">
        <f aca="false">INDEX(Setup!$B$13:$B$26,MATCH(C205,Setup!$A$13:$A$26,0))</f>
        <v>North</v>
      </c>
      <c r="G205" s="28" t="n">
        <f aca="false">B205+INDEX(Setup!$C$13:$C$26,MATCH(C205,Setup!$A$13:$A$26,0))</f>
        <v>46264</v>
      </c>
      <c r="H205" s="29" t="n">
        <f aca="false">SUMIFS(Collections!$E$6:$E$2000,Collections!$C$6:$C$2000,A205)</f>
        <v>569701</v>
      </c>
      <c r="I205" s="44" t="n">
        <f aca="false">E205-H205</f>
        <v>0</v>
      </c>
      <c r="J205" s="31" t="str">
        <f aca="false">IF(I205&gt;Setup!$B$9,Setup!$B$5-G205,"")</f>
        <v/>
      </c>
      <c r="K205" s="8" t="str">
        <f aca="false">IF(I205&lt;=Setup!$B$9,"Settled",IF(J205&lt;=0,"Not yet due",IF(J205&lt;=30,"1-30 days",IF(J205&lt;=60,"31-60 days",IF(J205&lt;=90,"61-90 days","Over 90 days")))))</f>
        <v>Settled</v>
      </c>
    </row>
    <row r="206" customFormat="false" ht="15" hidden="false" customHeight="false" outlineLevel="0" collapsed="false">
      <c r="A206" s="5" t="s">
        <v>323</v>
      </c>
      <c r="B206" s="41" t="n">
        <v>46235</v>
      </c>
      <c r="C206" s="5" t="s">
        <v>108</v>
      </c>
      <c r="D206" s="5" t="s">
        <v>128</v>
      </c>
      <c r="E206" s="43" t="n">
        <v>159492</v>
      </c>
      <c r="F206" s="27" t="str">
        <f aca="false">INDEX(Setup!$B$13:$B$26,MATCH(C206,Setup!$A$13:$A$26,0))</f>
        <v>South</v>
      </c>
      <c r="G206" s="28" t="n">
        <f aca="false">B206+INDEX(Setup!$C$13:$C$26,MATCH(C206,Setup!$A$13:$A$26,0))</f>
        <v>46265</v>
      </c>
      <c r="H206" s="29" t="n">
        <f aca="false">SUMIFS(Collections!$E$6:$E$2000,Collections!$C$6:$C$2000,A206)</f>
        <v>159492</v>
      </c>
      <c r="I206" s="44" t="n">
        <f aca="false">E206-H206</f>
        <v>0</v>
      </c>
      <c r="J206" s="31" t="str">
        <f aca="false">IF(I206&gt;Setup!$B$9,Setup!$B$5-G206,"")</f>
        <v/>
      </c>
      <c r="K206" s="8" t="str">
        <f aca="false">IF(I206&lt;=Setup!$B$9,"Settled",IF(J206&lt;=0,"Not yet due",IF(J206&lt;=30,"1-30 days",IF(J206&lt;=60,"31-60 days",IF(J206&lt;=90,"61-90 days","Over 90 days")))))</f>
        <v>Settled</v>
      </c>
    </row>
    <row r="207" customFormat="false" ht="15" hidden="false" customHeight="false" outlineLevel="0" collapsed="false">
      <c r="A207" s="5" t="s">
        <v>324</v>
      </c>
      <c r="B207" s="41" t="n">
        <v>46235</v>
      </c>
      <c r="C207" s="5" t="s">
        <v>97</v>
      </c>
      <c r="D207" s="5" t="s">
        <v>133</v>
      </c>
      <c r="E207" s="43" t="n">
        <v>107838</v>
      </c>
      <c r="F207" s="27" t="str">
        <f aca="false">INDEX(Setup!$B$13:$B$26,MATCH(C207,Setup!$A$13:$A$26,0))</f>
        <v>West</v>
      </c>
      <c r="G207" s="28" t="n">
        <f aca="false">B207+INDEX(Setup!$C$13:$C$26,MATCH(C207,Setup!$A$13:$A$26,0))</f>
        <v>46265</v>
      </c>
      <c r="H207" s="29" t="n">
        <f aca="false">SUMIFS(Collections!$E$6:$E$2000,Collections!$C$6:$C$2000,A207)</f>
        <v>107838</v>
      </c>
      <c r="I207" s="44" t="n">
        <f aca="false">E207-H207</f>
        <v>0</v>
      </c>
      <c r="J207" s="31" t="str">
        <f aca="false">IF(I207&gt;Setup!$B$9,Setup!$B$5-G207,"")</f>
        <v/>
      </c>
      <c r="K207" s="8" t="str">
        <f aca="false">IF(I207&lt;=Setup!$B$9,"Settled",IF(J207&lt;=0,"Not yet due",IF(J207&lt;=30,"1-30 days",IF(J207&lt;=60,"31-60 days",IF(J207&lt;=90,"61-90 days","Over 90 days")))))</f>
        <v>Settled</v>
      </c>
    </row>
    <row r="208" customFormat="false" ht="15" hidden="false" customHeight="false" outlineLevel="0" collapsed="false">
      <c r="A208" s="5" t="s">
        <v>325</v>
      </c>
      <c r="B208" s="41" t="n">
        <v>46236</v>
      </c>
      <c r="C208" s="5" t="s">
        <v>90</v>
      </c>
      <c r="D208" s="5" t="s">
        <v>120</v>
      </c>
      <c r="E208" s="43" t="n">
        <v>199451</v>
      </c>
      <c r="F208" s="27" t="str">
        <f aca="false">INDEX(Setup!$B$13:$B$26,MATCH(C208,Setup!$A$13:$A$26,0))</f>
        <v>East</v>
      </c>
      <c r="G208" s="28" t="n">
        <f aca="false">B208+INDEX(Setup!$C$13:$C$26,MATCH(C208,Setup!$A$13:$A$26,0))</f>
        <v>46266</v>
      </c>
      <c r="H208" s="29" t="n">
        <f aca="false">SUMIFS(Collections!$E$6:$E$2000,Collections!$C$6:$C$2000,A208)</f>
        <v>199451</v>
      </c>
      <c r="I208" s="44" t="n">
        <f aca="false">E208-H208</f>
        <v>0</v>
      </c>
      <c r="J208" s="31" t="str">
        <f aca="false">IF(I208&gt;Setup!$B$9,Setup!$B$5-G208,"")</f>
        <v/>
      </c>
      <c r="K208" s="8" t="str">
        <f aca="false">IF(I208&lt;=Setup!$B$9,"Settled",IF(J208&lt;=0,"Not yet due",IF(J208&lt;=30,"1-30 days",IF(J208&lt;=60,"31-60 days",IF(J208&lt;=90,"61-90 days","Over 90 days")))))</f>
        <v>Settled</v>
      </c>
    </row>
    <row r="209" customFormat="false" ht="15" hidden="false" customHeight="false" outlineLevel="0" collapsed="false">
      <c r="A209" s="5" t="s">
        <v>326</v>
      </c>
      <c r="B209" s="41" t="n">
        <v>46236</v>
      </c>
      <c r="C209" s="5" t="s">
        <v>97</v>
      </c>
      <c r="D209" s="5" t="s">
        <v>133</v>
      </c>
      <c r="E209" s="43" t="n">
        <v>87471</v>
      </c>
      <c r="F209" s="27" t="str">
        <f aca="false">INDEX(Setup!$B$13:$B$26,MATCH(C209,Setup!$A$13:$A$26,0))</f>
        <v>West</v>
      </c>
      <c r="G209" s="28" t="n">
        <f aca="false">B209+INDEX(Setup!$C$13:$C$26,MATCH(C209,Setup!$A$13:$A$26,0))</f>
        <v>46266</v>
      </c>
      <c r="H209" s="29" t="n">
        <f aca="false">SUMIFS(Collections!$E$6:$E$2000,Collections!$C$6:$C$2000,A209)</f>
        <v>87471</v>
      </c>
      <c r="I209" s="44" t="n">
        <f aca="false">E209-H209</f>
        <v>0</v>
      </c>
      <c r="J209" s="31" t="str">
        <f aca="false">IF(I209&gt;Setup!$B$9,Setup!$B$5-G209,"")</f>
        <v/>
      </c>
      <c r="K209" s="8" t="str">
        <f aca="false">IF(I209&lt;=Setup!$B$9,"Settled",IF(J209&lt;=0,"Not yet due",IF(J209&lt;=30,"1-30 days",IF(J209&lt;=60,"31-60 days",IF(J209&lt;=90,"61-90 days","Over 90 days")))))</f>
        <v>Settled</v>
      </c>
    </row>
    <row r="210" customFormat="false" ht="15" hidden="false" customHeight="false" outlineLevel="0" collapsed="false">
      <c r="A210" s="5" t="s">
        <v>327</v>
      </c>
      <c r="B210" s="41" t="n">
        <v>46237</v>
      </c>
      <c r="C210" s="5" t="s">
        <v>99</v>
      </c>
      <c r="D210" s="5" t="s">
        <v>133</v>
      </c>
      <c r="E210" s="43" t="n">
        <v>153298</v>
      </c>
      <c r="F210" s="27" t="str">
        <f aca="false">INDEX(Setup!$B$13:$B$26,MATCH(C210,Setup!$A$13:$A$26,0))</f>
        <v>West</v>
      </c>
      <c r="G210" s="28" t="n">
        <f aca="false">B210+INDEX(Setup!$C$13:$C$26,MATCH(C210,Setup!$A$13:$A$26,0))</f>
        <v>46282</v>
      </c>
      <c r="H210" s="29" t="n">
        <f aca="false">SUMIFS(Collections!$E$6:$E$2000,Collections!$C$6:$C$2000,A210)</f>
        <v>0</v>
      </c>
      <c r="I210" s="44" t="n">
        <f aca="false">E210-H210</f>
        <v>153298</v>
      </c>
      <c r="J210" s="31" t="n">
        <f aca="false">IF(I210&gt;Setup!$B$9,Setup!$B$5-G210,"")</f>
        <v>13</v>
      </c>
      <c r="K210" s="8" t="str">
        <f aca="false">IF(I210&lt;=Setup!$B$9,"Settled",IF(J210&lt;=0,"Not yet due",IF(J210&lt;=30,"1-30 days",IF(J210&lt;=60,"31-60 days",IF(J210&lt;=90,"61-90 days","Over 90 days")))))</f>
        <v>1-30 days</v>
      </c>
    </row>
    <row r="211" customFormat="false" ht="15" hidden="false" customHeight="false" outlineLevel="0" collapsed="false">
      <c r="A211" s="5" t="s">
        <v>328</v>
      </c>
      <c r="B211" s="41" t="n">
        <v>46238</v>
      </c>
      <c r="C211" s="5" t="s">
        <v>97</v>
      </c>
      <c r="D211" s="5" t="s">
        <v>128</v>
      </c>
      <c r="E211" s="43" t="n">
        <v>72563</v>
      </c>
      <c r="F211" s="27" t="str">
        <f aca="false">INDEX(Setup!$B$13:$B$26,MATCH(C211,Setup!$A$13:$A$26,0))</f>
        <v>West</v>
      </c>
      <c r="G211" s="28" t="n">
        <f aca="false">B211+INDEX(Setup!$C$13:$C$26,MATCH(C211,Setup!$A$13:$A$26,0))</f>
        <v>46268</v>
      </c>
      <c r="H211" s="29" t="n">
        <f aca="false">SUMIFS(Collections!$E$6:$E$2000,Collections!$C$6:$C$2000,A211)</f>
        <v>72563</v>
      </c>
      <c r="I211" s="44" t="n">
        <f aca="false">E211-H211</f>
        <v>0</v>
      </c>
      <c r="J211" s="31" t="str">
        <f aca="false">IF(I211&gt;Setup!$B$9,Setup!$B$5-G211,"")</f>
        <v/>
      </c>
      <c r="K211" s="8" t="str">
        <f aca="false">IF(I211&lt;=Setup!$B$9,"Settled",IF(J211&lt;=0,"Not yet due",IF(J211&lt;=30,"1-30 days",IF(J211&lt;=60,"31-60 days",IF(J211&lt;=90,"61-90 days","Over 90 days")))))</f>
        <v>Settled</v>
      </c>
    </row>
    <row r="212" customFormat="false" ht="15" hidden="false" customHeight="false" outlineLevel="0" collapsed="false">
      <c r="A212" s="5" t="s">
        <v>329</v>
      </c>
      <c r="B212" s="41" t="n">
        <v>46238</v>
      </c>
      <c r="C212" s="5" t="s">
        <v>99</v>
      </c>
      <c r="D212" s="5" t="s">
        <v>128</v>
      </c>
      <c r="E212" s="43" t="n">
        <v>154256</v>
      </c>
      <c r="F212" s="27" t="str">
        <f aca="false">INDEX(Setup!$B$13:$B$26,MATCH(C212,Setup!$A$13:$A$26,0))</f>
        <v>West</v>
      </c>
      <c r="G212" s="28" t="n">
        <f aca="false">B212+INDEX(Setup!$C$13:$C$26,MATCH(C212,Setup!$A$13:$A$26,0))</f>
        <v>46283</v>
      </c>
      <c r="H212" s="29" t="n">
        <f aca="false">SUMIFS(Collections!$E$6:$E$2000,Collections!$C$6:$C$2000,A212)</f>
        <v>154256</v>
      </c>
      <c r="I212" s="44" t="n">
        <f aca="false">E212-H212</f>
        <v>0</v>
      </c>
      <c r="J212" s="31" t="str">
        <f aca="false">IF(I212&gt;Setup!$B$9,Setup!$B$5-G212,"")</f>
        <v/>
      </c>
      <c r="K212" s="8" t="str">
        <f aca="false">IF(I212&lt;=Setup!$B$9,"Settled",IF(J212&lt;=0,"Not yet due",IF(J212&lt;=30,"1-30 days",IF(J212&lt;=60,"31-60 days",IF(J212&lt;=90,"61-90 days","Over 90 days")))))</f>
        <v>Settled</v>
      </c>
    </row>
    <row r="213" customFormat="false" ht="15" hidden="false" customHeight="false" outlineLevel="0" collapsed="false">
      <c r="A213" s="5" t="s">
        <v>330</v>
      </c>
      <c r="B213" s="41" t="n">
        <v>46238</v>
      </c>
      <c r="C213" s="5" t="s">
        <v>105</v>
      </c>
      <c r="D213" s="5" t="s">
        <v>122</v>
      </c>
      <c r="E213" s="43" t="n">
        <v>499600</v>
      </c>
      <c r="F213" s="27" t="str">
        <f aca="false">INDEX(Setup!$B$13:$B$26,MATCH(C213,Setup!$A$13:$A$26,0))</f>
        <v>South</v>
      </c>
      <c r="G213" s="28" t="n">
        <f aca="false">B213+INDEX(Setup!$C$13:$C$26,MATCH(C213,Setup!$A$13:$A$26,0))</f>
        <v>46268</v>
      </c>
      <c r="H213" s="29" t="n">
        <f aca="false">SUMIFS(Collections!$E$6:$E$2000,Collections!$C$6:$C$2000,A213)</f>
        <v>499600</v>
      </c>
      <c r="I213" s="44" t="n">
        <f aca="false">E213-H213</f>
        <v>0</v>
      </c>
      <c r="J213" s="31" t="str">
        <f aca="false">IF(I213&gt;Setup!$B$9,Setup!$B$5-G213,"")</f>
        <v/>
      </c>
      <c r="K213" s="8" t="str">
        <f aca="false">IF(I213&lt;=Setup!$B$9,"Settled",IF(J213&lt;=0,"Not yet due",IF(J213&lt;=30,"1-30 days",IF(J213&lt;=60,"31-60 days",IF(J213&lt;=90,"61-90 days","Over 90 days")))))</f>
        <v>Settled</v>
      </c>
    </row>
    <row r="214" customFormat="false" ht="15" hidden="false" customHeight="false" outlineLevel="0" collapsed="false">
      <c r="A214" s="5" t="s">
        <v>331</v>
      </c>
      <c r="B214" s="41" t="n">
        <v>46239</v>
      </c>
      <c r="C214" s="5" t="s">
        <v>104</v>
      </c>
      <c r="D214" s="5" t="s">
        <v>122</v>
      </c>
      <c r="E214" s="43" t="n">
        <v>319651</v>
      </c>
      <c r="F214" s="27" t="str">
        <f aca="false">INDEX(Setup!$B$13:$B$26,MATCH(C214,Setup!$A$13:$A$26,0))</f>
        <v>North</v>
      </c>
      <c r="G214" s="28" t="n">
        <f aca="false">B214+INDEX(Setup!$C$13:$C$26,MATCH(C214,Setup!$A$13:$A$26,0))</f>
        <v>46284</v>
      </c>
      <c r="H214" s="29" t="n">
        <f aca="false">SUMIFS(Collections!$E$6:$E$2000,Collections!$C$6:$C$2000,A214)</f>
        <v>0</v>
      </c>
      <c r="I214" s="44" t="n">
        <f aca="false">E214-H214</f>
        <v>319651</v>
      </c>
      <c r="J214" s="31" t="n">
        <f aca="false">IF(I214&gt;Setup!$B$9,Setup!$B$5-G214,"")</f>
        <v>11</v>
      </c>
      <c r="K214" s="8" t="str">
        <f aca="false">IF(I214&lt;=Setup!$B$9,"Settled",IF(J214&lt;=0,"Not yet due",IF(J214&lt;=30,"1-30 days",IF(J214&lt;=60,"31-60 days",IF(J214&lt;=90,"61-90 days","Over 90 days")))))</f>
        <v>1-30 days</v>
      </c>
    </row>
    <row r="215" customFormat="false" ht="15" hidden="false" customHeight="false" outlineLevel="0" collapsed="false">
      <c r="A215" s="5" t="s">
        <v>332</v>
      </c>
      <c r="B215" s="41" t="n">
        <v>46239</v>
      </c>
      <c r="C215" s="5" t="s">
        <v>100</v>
      </c>
      <c r="D215" s="5" t="s">
        <v>120</v>
      </c>
      <c r="E215" s="43" t="n">
        <v>145117</v>
      </c>
      <c r="F215" s="27" t="str">
        <f aca="false">INDEX(Setup!$B$13:$B$26,MATCH(C215,Setup!$A$13:$A$26,0))</f>
        <v>North</v>
      </c>
      <c r="G215" s="28" t="n">
        <f aca="false">B215+INDEX(Setup!$C$13:$C$26,MATCH(C215,Setup!$A$13:$A$26,0))</f>
        <v>46269</v>
      </c>
      <c r="H215" s="29" t="n">
        <f aca="false">SUMIFS(Collections!$E$6:$E$2000,Collections!$C$6:$C$2000,A215)</f>
        <v>145117</v>
      </c>
      <c r="I215" s="44" t="n">
        <f aca="false">E215-H215</f>
        <v>0</v>
      </c>
      <c r="J215" s="31" t="str">
        <f aca="false">IF(I215&gt;Setup!$B$9,Setup!$B$5-G215,"")</f>
        <v/>
      </c>
      <c r="K215" s="8" t="str">
        <f aca="false">IF(I215&lt;=Setup!$B$9,"Settled",IF(J215&lt;=0,"Not yet due",IF(J215&lt;=30,"1-30 days",IF(J215&lt;=60,"31-60 days",IF(J215&lt;=90,"61-90 days","Over 90 days")))))</f>
        <v>Settled</v>
      </c>
    </row>
    <row r="216" customFormat="false" ht="15" hidden="false" customHeight="false" outlineLevel="0" collapsed="false">
      <c r="A216" s="5" t="s">
        <v>333</v>
      </c>
      <c r="B216" s="41" t="n">
        <v>46240</v>
      </c>
      <c r="C216" s="5" t="s">
        <v>104</v>
      </c>
      <c r="D216" s="5" t="s">
        <v>122</v>
      </c>
      <c r="E216" s="43" t="n">
        <v>261279</v>
      </c>
      <c r="F216" s="27" t="str">
        <f aca="false">INDEX(Setup!$B$13:$B$26,MATCH(C216,Setup!$A$13:$A$26,0))</f>
        <v>North</v>
      </c>
      <c r="G216" s="28" t="n">
        <f aca="false">B216+INDEX(Setup!$C$13:$C$26,MATCH(C216,Setup!$A$13:$A$26,0))</f>
        <v>46285</v>
      </c>
      <c r="H216" s="29" t="n">
        <f aca="false">SUMIFS(Collections!$E$6:$E$2000,Collections!$C$6:$C$2000,A216)</f>
        <v>0</v>
      </c>
      <c r="I216" s="44" t="n">
        <f aca="false">E216-H216</f>
        <v>261279</v>
      </c>
      <c r="J216" s="31" t="n">
        <f aca="false">IF(I216&gt;Setup!$B$9,Setup!$B$5-G216,"")</f>
        <v>10</v>
      </c>
      <c r="K216" s="8" t="str">
        <f aca="false">IF(I216&lt;=Setup!$B$9,"Settled",IF(J216&lt;=0,"Not yet due",IF(J216&lt;=30,"1-30 days",IF(J216&lt;=60,"31-60 days",IF(J216&lt;=90,"61-90 days","Over 90 days")))))</f>
        <v>1-30 days</v>
      </c>
    </row>
    <row r="217" customFormat="false" ht="15" hidden="false" customHeight="false" outlineLevel="0" collapsed="false">
      <c r="A217" s="5" t="s">
        <v>334</v>
      </c>
      <c r="B217" s="41" t="n">
        <v>46240</v>
      </c>
      <c r="C217" s="5" t="s">
        <v>87</v>
      </c>
      <c r="D217" s="5" t="s">
        <v>120</v>
      </c>
      <c r="E217" s="43" t="n">
        <v>264630</v>
      </c>
      <c r="F217" s="27" t="str">
        <f aca="false">INDEX(Setup!$B$13:$B$26,MATCH(C217,Setup!$A$13:$A$26,0))</f>
        <v>East</v>
      </c>
      <c r="G217" s="28" t="n">
        <f aca="false">B217+INDEX(Setup!$C$13:$C$26,MATCH(C217,Setup!$A$13:$A$26,0))</f>
        <v>46270</v>
      </c>
      <c r="H217" s="29" t="n">
        <f aca="false">SUMIFS(Collections!$E$6:$E$2000,Collections!$C$6:$C$2000,A217)</f>
        <v>264630</v>
      </c>
      <c r="I217" s="44" t="n">
        <f aca="false">E217-H217</f>
        <v>0</v>
      </c>
      <c r="J217" s="31" t="str">
        <f aca="false">IF(I217&gt;Setup!$B$9,Setup!$B$5-G217,"")</f>
        <v/>
      </c>
      <c r="K217" s="8" t="str">
        <f aca="false">IF(I217&lt;=Setup!$B$9,"Settled",IF(J217&lt;=0,"Not yet due",IF(J217&lt;=30,"1-30 days",IF(J217&lt;=60,"31-60 days",IF(J217&lt;=90,"61-90 days","Over 90 days")))))</f>
        <v>Settled</v>
      </c>
    </row>
    <row r="218" customFormat="false" ht="15" hidden="false" customHeight="false" outlineLevel="0" collapsed="false">
      <c r="A218" s="5" t="s">
        <v>335</v>
      </c>
      <c r="B218" s="41" t="n">
        <v>46240</v>
      </c>
      <c r="C218" s="5" t="s">
        <v>104</v>
      </c>
      <c r="D218" s="5" t="s">
        <v>133</v>
      </c>
      <c r="E218" s="43" t="n">
        <v>89011</v>
      </c>
      <c r="F218" s="27" t="str">
        <f aca="false">INDEX(Setup!$B$13:$B$26,MATCH(C218,Setup!$A$13:$A$26,0))</f>
        <v>North</v>
      </c>
      <c r="G218" s="28" t="n">
        <f aca="false">B218+INDEX(Setup!$C$13:$C$26,MATCH(C218,Setup!$A$13:$A$26,0))</f>
        <v>46285</v>
      </c>
      <c r="H218" s="29" t="n">
        <f aca="false">SUMIFS(Collections!$E$6:$E$2000,Collections!$C$6:$C$2000,A218)</f>
        <v>0</v>
      </c>
      <c r="I218" s="44" t="n">
        <f aca="false">E218-H218</f>
        <v>89011</v>
      </c>
      <c r="J218" s="31" t="n">
        <f aca="false">IF(I218&gt;Setup!$B$9,Setup!$B$5-G218,"")</f>
        <v>10</v>
      </c>
      <c r="K218" s="8" t="str">
        <f aca="false">IF(I218&lt;=Setup!$B$9,"Settled",IF(J218&lt;=0,"Not yet due",IF(J218&lt;=30,"1-30 days",IF(J218&lt;=60,"31-60 days",IF(J218&lt;=90,"61-90 days","Over 90 days")))))</f>
        <v>1-30 days</v>
      </c>
    </row>
    <row r="219" customFormat="false" ht="15" hidden="false" customHeight="false" outlineLevel="0" collapsed="false">
      <c r="A219" s="5" t="s">
        <v>336</v>
      </c>
      <c r="B219" s="41" t="n">
        <v>46240</v>
      </c>
      <c r="C219" s="5" t="s">
        <v>99</v>
      </c>
      <c r="D219" s="5" t="s">
        <v>122</v>
      </c>
      <c r="E219" s="43" t="n">
        <v>173277</v>
      </c>
      <c r="F219" s="27" t="str">
        <f aca="false">INDEX(Setup!$B$13:$B$26,MATCH(C219,Setup!$A$13:$A$26,0))</f>
        <v>West</v>
      </c>
      <c r="G219" s="28" t="n">
        <f aca="false">B219+INDEX(Setup!$C$13:$C$26,MATCH(C219,Setup!$A$13:$A$26,0))</f>
        <v>46285</v>
      </c>
      <c r="H219" s="29" t="n">
        <f aca="false">SUMIFS(Collections!$E$6:$E$2000,Collections!$C$6:$C$2000,A219)</f>
        <v>0</v>
      </c>
      <c r="I219" s="44" t="n">
        <f aca="false">E219-H219</f>
        <v>173277</v>
      </c>
      <c r="J219" s="31" t="n">
        <f aca="false">IF(I219&gt;Setup!$B$9,Setup!$B$5-G219,"")</f>
        <v>10</v>
      </c>
      <c r="K219" s="8" t="str">
        <f aca="false">IF(I219&lt;=Setup!$B$9,"Settled",IF(J219&lt;=0,"Not yet due",IF(J219&lt;=30,"1-30 days",IF(J219&lt;=60,"31-60 days",IF(J219&lt;=90,"61-90 days","Over 90 days")))))</f>
        <v>1-30 days</v>
      </c>
    </row>
    <row r="220" customFormat="false" ht="15" hidden="false" customHeight="false" outlineLevel="0" collapsed="false">
      <c r="A220" s="5" t="s">
        <v>337</v>
      </c>
      <c r="B220" s="41" t="n">
        <v>46241</v>
      </c>
      <c r="C220" s="5" t="s">
        <v>87</v>
      </c>
      <c r="D220" s="5" t="s">
        <v>128</v>
      </c>
      <c r="E220" s="43" t="n">
        <v>308223</v>
      </c>
      <c r="F220" s="27" t="str">
        <f aca="false">INDEX(Setup!$B$13:$B$26,MATCH(C220,Setup!$A$13:$A$26,0))</f>
        <v>East</v>
      </c>
      <c r="G220" s="28" t="n">
        <f aca="false">B220+INDEX(Setup!$C$13:$C$26,MATCH(C220,Setup!$A$13:$A$26,0))</f>
        <v>46271</v>
      </c>
      <c r="H220" s="29" t="n">
        <f aca="false">SUMIFS(Collections!$E$6:$E$2000,Collections!$C$6:$C$2000,A220)</f>
        <v>308223</v>
      </c>
      <c r="I220" s="44" t="n">
        <f aca="false">E220-H220</f>
        <v>0</v>
      </c>
      <c r="J220" s="31" t="str">
        <f aca="false">IF(I220&gt;Setup!$B$9,Setup!$B$5-G220,"")</f>
        <v/>
      </c>
      <c r="K220" s="8" t="str">
        <f aca="false">IF(I220&lt;=Setup!$B$9,"Settled",IF(J220&lt;=0,"Not yet due",IF(J220&lt;=30,"1-30 days",IF(J220&lt;=60,"31-60 days",IF(J220&lt;=90,"61-90 days","Over 90 days")))))</f>
        <v>Settled</v>
      </c>
    </row>
    <row r="221" customFormat="false" ht="15" hidden="false" customHeight="false" outlineLevel="0" collapsed="false">
      <c r="A221" s="5" t="s">
        <v>338</v>
      </c>
      <c r="B221" s="41" t="n">
        <v>46242</v>
      </c>
      <c r="C221" s="5" t="s">
        <v>87</v>
      </c>
      <c r="D221" s="5" t="s">
        <v>122</v>
      </c>
      <c r="E221" s="43" t="n">
        <v>250873</v>
      </c>
      <c r="F221" s="27" t="str">
        <f aca="false">INDEX(Setup!$B$13:$B$26,MATCH(C221,Setup!$A$13:$A$26,0))</f>
        <v>East</v>
      </c>
      <c r="G221" s="28" t="n">
        <f aca="false">B221+INDEX(Setup!$C$13:$C$26,MATCH(C221,Setup!$A$13:$A$26,0))</f>
        <v>46272</v>
      </c>
      <c r="H221" s="29" t="n">
        <f aca="false">SUMIFS(Collections!$E$6:$E$2000,Collections!$C$6:$C$2000,A221)</f>
        <v>250873</v>
      </c>
      <c r="I221" s="44" t="n">
        <f aca="false">E221-H221</f>
        <v>0</v>
      </c>
      <c r="J221" s="31" t="str">
        <f aca="false">IF(I221&gt;Setup!$B$9,Setup!$B$5-G221,"")</f>
        <v/>
      </c>
      <c r="K221" s="8" t="str">
        <f aca="false">IF(I221&lt;=Setup!$B$9,"Settled",IF(J221&lt;=0,"Not yet due",IF(J221&lt;=30,"1-30 days",IF(J221&lt;=60,"31-60 days",IF(J221&lt;=90,"61-90 days","Over 90 days")))))</f>
        <v>Settled</v>
      </c>
    </row>
    <row r="222" customFormat="false" ht="15" hidden="false" customHeight="false" outlineLevel="0" collapsed="false">
      <c r="A222" s="5" t="s">
        <v>339</v>
      </c>
      <c r="B222" s="41" t="n">
        <v>46242</v>
      </c>
      <c r="C222" s="5" t="s">
        <v>94</v>
      </c>
      <c r="D222" s="5" t="s">
        <v>122</v>
      </c>
      <c r="E222" s="43" t="n">
        <v>398897</v>
      </c>
      <c r="F222" s="27" t="str">
        <f aca="false">INDEX(Setup!$B$13:$B$26,MATCH(C222,Setup!$A$13:$A$26,0))</f>
        <v>West</v>
      </c>
      <c r="G222" s="28" t="n">
        <f aca="false">B222+INDEX(Setup!$C$13:$C$26,MATCH(C222,Setup!$A$13:$A$26,0))</f>
        <v>46272</v>
      </c>
      <c r="H222" s="29" t="n">
        <f aca="false">SUMIFS(Collections!$E$6:$E$2000,Collections!$C$6:$C$2000,A222)</f>
        <v>398897</v>
      </c>
      <c r="I222" s="44" t="n">
        <f aca="false">E222-H222</f>
        <v>0</v>
      </c>
      <c r="J222" s="31" t="str">
        <f aca="false">IF(I222&gt;Setup!$B$9,Setup!$B$5-G222,"")</f>
        <v/>
      </c>
      <c r="K222" s="8" t="str">
        <f aca="false">IF(I222&lt;=Setup!$B$9,"Settled",IF(J222&lt;=0,"Not yet due",IF(J222&lt;=30,"1-30 days",IF(J222&lt;=60,"31-60 days",IF(J222&lt;=90,"61-90 days","Over 90 days")))))</f>
        <v>Settled</v>
      </c>
    </row>
    <row r="223" customFormat="false" ht="15" hidden="false" customHeight="false" outlineLevel="0" collapsed="false">
      <c r="A223" s="5" t="s">
        <v>340</v>
      </c>
      <c r="B223" s="41" t="n">
        <v>46245</v>
      </c>
      <c r="C223" s="5" t="s">
        <v>108</v>
      </c>
      <c r="D223" s="5" t="s">
        <v>122</v>
      </c>
      <c r="E223" s="43" t="n">
        <v>141812</v>
      </c>
      <c r="F223" s="27" t="str">
        <f aca="false">INDEX(Setup!$B$13:$B$26,MATCH(C223,Setup!$A$13:$A$26,0))</f>
        <v>South</v>
      </c>
      <c r="G223" s="28" t="n">
        <f aca="false">B223+INDEX(Setup!$C$13:$C$26,MATCH(C223,Setup!$A$13:$A$26,0))</f>
        <v>46275</v>
      </c>
      <c r="H223" s="29" t="n">
        <f aca="false">SUMIFS(Collections!$E$6:$E$2000,Collections!$C$6:$C$2000,A223)</f>
        <v>141812</v>
      </c>
      <c r="I223" s="44" t="n">
        <f aca="false">E223-H223</f>
        <v>0</v>
      </c>
      <c r="J223" s="31" t="str">
        <f aca="false">IF(I223&gt;Setup!$B$9,Setup!$B$5-G223,"")</f>
        <v/>
      </c>
      <c r="K223" s="8" t="str">
        <f aca="false">IF(I223&lt;=Setup!$B$9,"Settled",IF(J223&lt;=0,"Not yet due",IF(J223&lt;=30,"1-30 days",IF(J223&lt;=60,"31-60 days",IF(J223&lt;=90,"61-90 days","Over 90 days")))))</f>
        <v>Settled</v>
      </c>
    </row>
    <row r="224" customFormat="false" ht="15" hidden="false" customHeight="false" outlineLevel="0" collapsed="false">
      <c r="A224" s="5" t="s">
        <v>341</v>
      </c>
      <c r="B224" s="41" t="n">
        <v>46246</v>
      </c>
      <c r="C224" s="5" t="s">
        <v>90</v>
      </c>
      <c r="D224" s="5" t="s">
        <v>128</v>
      </c>
      <c r="E224" s="43" t="n">
        <v>79857</v>
      </c>
      <c r="F224" s="27" t="str">
        <f aca="false">INDEX(Setup!$B$13:$B$26,MATCH(C224,Setup!$A$13:$A$26,0))</f>
        <v>East</v>
      </c>
      <c r="G224" s="28" t="n">
        <f aca="false">B224+INDEX(Setup!$C$13:$C$26,MATCH(C224,Setup!$A$13:$A$26,0))</f>
        <v>46276</v>
      </c>
      <c r="H224" s="29" t="n">
        <f aca="false">SUMIFS(Collections!$E$6:$E$2000,Collections!$C$6:$C$2000,A224)</f>
        <v>79857</v>
      </c>
      <c r="I224" s="44" t="n">
        <f aca="false">E224-H224</f>
        <v>0</v>
      </c>
      <c r="J224" s="31" t="str">
        <f aca="false">IF(I224&gt;Setup!$B$9,Setup!$B$5-G224,"")</f>
        <v/>
      </c>
      <c r="K224" s="8" t="str">
        <f aca="false">IF(I224&lt;=Setup!$B$9,"Settled",IF(J224&lt;=0,"Not yet due",IF(J224&lt;=30,"1-30 days",IF(J224&lt;=60,"31-60 days",IF(J224&lt;=90,"61-90 days","Over 90 days")))))</f>
        <v>Settled</v>
      </c>
    </row>
    <row r="225" customFormat="false" ht="15" hidden="false" customHeight="false" outlineLevel="0" collapsed="false">
      <c r="A225" s="5" t="s">
        <v>342</v>
      </c>
      <c r="B225" s="41" t="n">
        <v>46246</v>
      </c>
      <c r="C225" s="5" t="s">
        <v>87</v>
      </c>
      <c r="D225" s="5" t="s">
        <v>133</v>
      </c>
      <c r="E225" s="43" t="n">
        <v>397096</v>
      </c>
      <c r="F225" s="27" t="str">
        <f aca="false">INDEX(Setup!$B$13:$B$26,MATCH(C225,Setup!$A$13:$A$26,0))</f>
        <v>East</v>
      </c>
      <c r="G225" s="28" t="n">
        <f aca="false">B225+INDEX(Setup!$C$13:$C$26,MATCH(C225,Setup!$A$13:$A$26,0))</f>
        <v>46276</v>
      </c>
      <c r="H225" s="29" t="n">
        <f aca="false">SUMIFS(Collections!$E$6:$E$2000,Collections!$C$6:$C$2000,A225)</f>
        <v>397096</v>
      </c>
      <c r="I225" s="44" t="n">
        <f aca="false">E225-H225</f>
        <v>0</v>
      </c>
      <c r="J225" s="31" t="str">
        <f aca="false">IF(I225&gt;Setup!$B$9,Setup!$B$5-G225,"")</f>
        <v/>
      </c>
      <c r="K225" s="8" t="str">
        <f aca="false">IF(I225&lt;=Setup!$B$9,"Settled",IF(J225&lt;=0,"Not yet due",IF(J225&lt;=30,"1-30 days",IF(J225&lt;=60,"31-60 days",IF(J225&lt;=90,"61-90 days","Over 90 days")))))</f>
        <v>Settled</v>
      </c>
    </row>
    <row r="226" customFormat="false" ht="15" hidden="false" customHeight="false" outlineLevel="0" collapsed="false">
      <c r="A226" s="5" t="s">
        <v>343</v>
      </c>
      <c r="B226" s="41" t="n">
        <v>46248</v>
      </c>
      <c r="C226" s="5" t="s">
        <v>90</v>
      </c>
      <c r="D226" s="5" t="s">
        <v>120</v>
      </c>
      <c r="E226" s="43" t="n">
        <v>121822</v>
      </c>
      <c r="F226" s="27" t="str">
        <f aca="false">INDEX(Setup!$B$13:$B$26,MATCH(C226,Setup!$A$13:$A$26,0))</f>
        <v>East</v>
      </c>
      <c r="G226" s="28" t="n">
        <f aca="false">B226+INDEX(Setup!$C$13:$C$26,MATCH(C226,Setup!$A$13:$A$26,0))</f>
        <v>46278</v>
      </c>
      <c r="H226" s="29" t="n">
        <f aca="false">SUMIFS(Collections!$E$6:$E$2000,Collections!$C$6:$C$2000,A226)</f>
        <v>0</v>
      </c>
      <c r="I226" s="44" t="n">
        <f aca="false">E226-H226</f>
        <v>121822</v>
      </c>
      <c r="J226" s="31" t="n">
        <f aca="false">IF(I226&gt;Setup!$B$9,Setup!$B$5-G226,"")</f>
        <v>17</v>
      </c>
      <c r="K226" s="8" t="str">
        <f aca="false">IF(I226&lt;=Setup!$B$9,"Settled",IF(J226&lt;=0,"Not yet due",IF(J226&lt;=30,"1-30 days",IF(J226&lt;=60,"31-60 days",IF(J226&lt;=90,"61-90 days","Over 90 days")))))</f>
        <v>1-30 days</v>
      </c>
    </row>
    <row r="227" customFormat="false" ht="15" hidden="false" customHeight="false" outlineLevel="0" collapsed="false">
      <c r="A227" s="5" t="s">
        <v>344</v>
      </c>
      <c r="B227" s="41" t="n">
        <v>46248</v>
      </c>
      <c r="C227" s="5" t="s">
        <v>105</v>
      </c>
      <c r="D227" s="5" t="s">
        <v>133</v>
      </c>
      <c r="E227" s="43" t="n">
        <v>283959</v>
      </c>
      <c r="F227" s="27" t="str">
        <f aca="false">INDEX(Setup!$B$13:$B$26,MATCH(C227,Setup!$A$13:$A$26,0))</f>
        <v>South</v>
      </c>
      <c r="G227" s="28" t="n">
        <f aca="false">B227+INDEX(Setup!$C$13:$C$26,MATCH(C227,Setup!$A$13:$A$26,0))</f>
        <v>46278</v>
      </c>
      <c r="H227" s="29" t="n">
        <f aca="false">SUMIFS(Collections!$E$6:$E$2000,Collections!$C$6:$C$2000,A227)</f>
        <v>283959</v>
      </c>
      <c r="I227" s="44" t="n">
        <f aca="false">E227-H227</f>
        <v>0</v>
      </c>
      <c r="J227" s="31" t="str">
        <f aca="false">IF(I227&gt;Setup!$B$9,Setup!$B$5-G227,"")</f>
        <v/>
      </c>
      <c r="K227" s="8" t="str">
        <f aca="false">IF(I227&lt;=Setup!$B$9,"Settled",IF(J227&lt;=0,"Not yet due",IF(J227&lt;=30,"1-30 days",IF(J227&lt;=60,"31-60 days",IF(J227&lt;=90,"61-90 days","Over 90 days")))))</f>
        <v>Settled</v>
      </c>
    </row>
    <row r="228" customFormat="false" ht="15" hidden="false" customHeight="false" outlineLevel="0" collapsed="false">
      <c r="A228" s="5" t="s">
        <v>345</v>
      </c>
      <c r="B228" s="41" t="n">
        <v>46249</v>
      </c>
      <c r="C228" s="5" t="s">
        <v>107</v>
      </c>
      <c r="D228" s="5" t="s">
        <v>120</v>
      </c>
      <c r="E228" s="43" t="n">
        <v>362750</v>
      </c>
      <c r="F228" s="27" t="str">
        <f aca="false">INDEX(Setup!$B$13:$B$26,MATCH(C228,Setup!$A$13:$A$26,0))</f>
        <v>South</v>
      </c>
      <c r="G228" s="28" t="n">
        <f aca="false">B228+INDEX(Setup!$C$13:$C$26,MATCH(C228,Setup!$A$13:$A$26,0))</f>
        <v>46279</v>
      </c>
      <c r="H228" s="29" t="n">
        <f aca="false">SUMIFS(Collections!$E$6:$E$2000,Collections!$C$6:$C$2000,A228)</f>
        <v>362750</v>
      </c>
      <c r="I228" s="44" t="n">
        <f aca="false">E228-H228</f>
        <v>0</v>
      </c>
      <c r="J228" s="31" t="str">
        <f aca="false">IF(I228&gt;Setup!$B$9,Setup!$B$5-G228,"")</f>
        <v/>
      </c>
      <c r="K228" s="8" t="str">
        <f aca="false">IF(I228&lt;=Setup!$B$9,"Settled",IF(J228&lt;=0,"Not yet due",IF(J228&lt;=30,"1-30 days",IF(J228&lt;=60,"31-60 days",IF(J228&lt;=90,"61-90 days","Over 90 days")))))</f>
        <v>Settled</v>
      </c>
    </row>
    <row r="229" customFormat="false" ht="15" hidden="false" customHeight="false" outlineLevel="0" collapsed="false">
      <c r="A229" s="5" t="s">
        <v>346</v>
      </c>
      <c r="B229" s="41" t="n">
        <v>46250</v>
      </c>
      <c r="C229" s="5" t="s">
        <v>103</v>
      </c>
      <c r="D229" s="5" t="s">
        <v>122</v>
      </c>
      <c r="E229" s="43" t="n">
        <v>272065</v>
      </c>
      <c r="F229" s="27" t="str">
        <f aca="false">INDEX(Setup!$B$13:$B$26,MATCH(C229,Setup!$A$13:$A$26,0))</f>
        <v>North</v>
      </c>
      <c r="G229" s="28" t="n">
        <f aca="false">B229+INDEX(Setup!$C$13:$C$26,MATCH(C229,Setup!$A$13:$A$26,0))</f>
        <v>46280</v>
      </c>
      <c r="H229" s="29" t="n">
        <f aca="false">SUMIFS(Collections!$E$6:$E$2000,Collections!$C$6:$C$2000,A229)</f>
        <v>272065</v>
      </c>
      <c r="I229" s="44" t="n">
        <f aca="false">E229-H229</f>
        <v>0</v>
      </c>
      <c r="J229" s="31" t="str">
        <f aca="false">IF(I229&gt;Setup!$B$9,Setup!$B$5-G229,"")</f>
        <v/>
      </c>
      <c r="K229" s="8" t="str">
        <f aca="false">IF(I229&lt;=Setup!$B$9,"Settled",IF(J229&lt;=0,"Not yet due",IF(J229&lt;=30,"1-30 days",IF(J229&lt;=60,"31-60 days",IF(J229&lt;=90,"61-90 days","Over 90 days")))))</f>
        <v>Settled</v>
      </c>
    </row>
    <row r="230" customFormat="false" ht="15" hidden="false" customHeight="false" outlineLevel="0" collapsed="false">
      <c r="A230" s="5" t="s">
        <v>347</v>
      </c>
      <c r="B230" s="41" t="n">
        <v>46250</v>
      </c>
      <c r="C230" s="5" t="s">
        <v>87</v>
      </c>
      <c r="D230" s="5" t="s">
        <v>122</v>
      </c>
      <c r="E230" s="43" t="n">
        <v>79621</v>
      </c>
      <c r="F230" s="27" t="str">
        <f aca="false">INDEX(Setup!$B$13:$B$26,MATCH(C230,Setup!$A$13:$A$26,0))</f>
        <v>East</v>
      </c>
      <c r="G230" s="28" t="n">
        <f aca="false">B230+INDEX(Setup!$C$13:$C$26,MATCH(C230,Setup!$A$13:$A$26,0))</f>
        <v>46280</v>
      </c>
      <c r="H230" s="29" t="n">
        <f aca="false">SUMIFS(Collections!$E$6:$E$2000,Collections!$C$6:$C$2000,A230)</f>
        <v>79621</v>
      </c>
      <c r="I230" s="44" t="n">
        <f aca="false">E230-H230</f>
        <v>0</v>
      </c>
      <c r="J230" s="31" t="str">
        <f aca="false">IF(I230&gt;Setup!$B$9,Setup!$B$5-G230,"")</f>
        <v/>
      </c>
      <c r="K230" s="8" t="str">
        <f aca="false">IF(I230&lt;=Setup!$B$9,"Settled",IF(J230&lt;=0,"Not yet due",IF(J230&lt;=30,"1-30 days",IF(J230&lt;=60,"31-60 days",IF(J230&lt;=90,"61-90 days","Over 90 days")))))</f>
        <v>Settled</v>
      </c>
    </row>
    <row r="231" customFormat="false" ht="15" hidden="false" customHeight="false" outlineLevel="0" collapsed="false">
      <c r="A231" s="5" t="s">
        <v>348</v>
      </c>
      <c r="B231" s="41" t="n">
        <v>46252</v>
      </c>
      <c r="C231" s="5" t="s">
        <v>102</v>
      </c>
      <c r="D231" s="5" t="s">
        <v>120</v>
      </c>
      <c r="E231" s="43" t="n">
        <v>207841</v>
      </c>
      <c r="F231" s="27" t="str">
        <f aca="false">INDEX(Setup!$B$13:$B$26,MATCH(C231,Setup!$A$13:$A$26,0))</f>
        <v>North</v>
      </c>
      <c r="G231" s="28" t="n">
        <f aca="false">B231+INDEX(Setup!$C$13:$C$26,MATCH(C231,Setup!$A$13:$A$26,0))</f>
        <v>46282</v>
      </c>
      <c r="H231" s="29" t="n">
        <f aca="false">SUMIFS(Collections!$E$6:$E$2000,Collections!$C$6:$C$2000,A231)</f>
        <v>0</v>
      </c>
      <c r="I231" s="44" t="n">
        <f aca="false">E231-H231</f>
        <v>207841</v>
      </c>
      <c r="J231" s="31" t="n">
        <f aca="false">IF(I231&gt;Setup!$B$9,Setup!$B$5-G231,"")</f>
        <v>13</v>
      </c>
      <c r="K231" s="8" t="str">
        <f aca="false">IF(I231&lt;=Setup!$B$9,"Settled",IF(J231&lt;=0,"Not yet due",IF(J231&lt;=30,"1-30 days",IF(J231&lt;=60,"31-60 days",IF(J231&lt;=90,"61-90 days","Over 90 days")))))</f>
        <v>1-30 days</v>
      </c>
    </row>
    <row r="232" customFormat="false" ht="15" hidden="false" customHeight="false" outlineLevel="0" collapsed="false">
      <c r="A232" s="5" t="s">
        <v>349</v>
      </c>
      <c r="B232" s="41" t="n">
        <v>46253</v>
      </c>
      <c r="C232" s="5" t="s">
        <v>105</v>
      </c>
      <c r="D232" s="5" t="s">
        <v>128</v>
      </c>
      <c r="E232" s="43" t="n">
        <v>513941</v>
      </c>
      <c r="F232" s="27" t="str">
        <f aca="false">INDEX(Setup!$B$13:$B$26,MATCH(C232,Setup!$A$13:$A$26,0))</f>
        <v>South</v>
      </c>
      <c r="G232" s="28" t="n">
        <f aca="false">B232+INDEX(Setup!$C$13:$C$26,MATCH(C232,Setup!$A$13:$A$26,0))</f>
        <v>46283</v>
      </c>
      <c r="H232" s="29" t="n">
        <f aca="false">SUMIFS(Collections!$E$6:$E$2000,Collections!$C$6:$C$2000,A232)</f>
        <v>0</v>
      </c>
      <c r="I232" s="44" t="n">
        <f aca="false">E232-H232</f>
        <v>513941</v>
      </c>
      <c r="J232" s="31" t="n">
        <f aca="false">IF(I232&gt;Setup!$B$9,Setup!$B$5-G232,"")</f>
        <v>12</v>
      </c>
      <c r="K232" s="8" t="str">
        <f aca="false">IF(I232&lt;=Setup!$B$9,"Settled",IF(J232&lt;=0,"Not yet due",IF(J232&lt;=30,"1-30 days",IF(J232&lt;=60,"31-60 days",IF(J232&lt;=90,"61-90 days","Over 90 days")))))</f>
        <v>1-30 days</v>
      </c>
    </row>
    <row r="233" customFormat="false" ht="15" hidden="false" customHeight="false" outlineLevel="0" collapsed="false">
      <c r="A233" s="5" t="s">
        <v>350</v>
      </c>
      <c r="B233" s="41" t="n">
        <v>46256</v>
      </c>
      <c r="C233" s="5" t="s">
        <v>87</v>
      </c>
      <c r="D233" s="5" t="s">
        <v>128</v>
      </c>
      <c r="E233" s="43" t="n">
        <v>395695</v>
      </c>
      <c r="F233" s="27" t="str">
        <f aca="false">INDEX(Setup!$B$13:$B$26,MATCH(C233,Setup!$A$13:$A$26,0))</f>
        <v>East</v>
      </c>
      <c r="G233" s="28" t="n">
        <f aca="false">B233+INDEX(Setup!$C$13:$C$26,MATCH(C233,Setup!$A$13:$A$26,0))</f>
        <v>46286</v>
      </c>
      <c r="H233" s="29" t="n">
        <f aca="false">SUMIFS(Collections!$E$6:$E$2000,Collections!$C$6:$C$2000,A233)</f>
        <v>395695</v>
      </c>
      <c r="I233" s="44" t="n">
        <f aca="false">E233-H233</f>
        <v>0</v>
      </c>
      <c r="J233" s="31" t="str">
        <f aca="false">IF(I233&gt;Setup!$B$9,Setup!$B$5-G233,"")</f>
        <v/>
      </c>
      <c r="K233" s="8" t="str">
        <f aca="false">IF(I233&lt;=Setup!$B$9,"Settled",IF(J233&lt;=0,"Not yet due",IF(J233&lt;=30,"1-30 days",IF(J233&lt;=60,"31-60 days",IF(J233&lt;=90,"61-90 days","Over 90 days")))))</f>
        <v>Settled</v>
      </c>
    </row>
    <row r="234" customFormat="false" ht="15" hidden="false" customHeight="false" outlineLevel="0" collapsed="false">
      <c r="A234" s="5" t="s">
        <v>351</v>
      </c>
      <c r="B234" s="41" t="n">
        <v>46256</v>
      </c>
      <c r="C234" s="5" t="s">
        <v>103</v>
      </c>
      <c r="D234" s="5" t="s">
        <v>122</v>
      </c>
      <c r="E234" s="43" t="n">
        <v>167846</v>
      </c>
      <c r="F234" s="27" t="str">
        <f aca="false">INDEX(Setup!$B$13:$B$26,MATCH(C234,Setup!$A$13:$A$26,0))</f>
        <v>North</v>
      </c>
      <c r="G234" s="28" t="n">
        <f aca="false">B234+INDEX(Setup!$C$13:$C$26,MATCH(C234,Setup!$A$13:$A$26,0))</f>
        <v>46286</v>
      </c>
      <c r="H234" s="29" t="n">
        <f aca="false">SUMIFS(Collections!$E$6:$E$2000,Collections!$C$6:$C$2000,A234)</f>
        <v>0</v>
      </c>
      <c r="I234" s="44" t="n">
        <f aca="false">E234-H234</f>
        <v>167846</v>
      </c>
      <c r="J234" s="31" t="n">
        <f aca="false">IF(I234&gt;Setup!$B$9,Setup!$B$5-G234,"")</f>
        <v>9</v>
      </c>
      <c r="K234" s="8" t="str">
        <f aca="false">IF(I234&lt;=Setup!$B$9,"Settled",IF(J234&lt;=0,"Not yet due",IF(J234&lt;=30,"1-30 days",IF(J234&lt;=60,"31-60 days",IF(J234&lt;=90,"61-90 days","Over 90 days")))))</f>
        <v>1-30 days</v>
      </c>
    </row>
    <row r="235" customFormat="false" ht="15" hidden="false" customHeight="false" outlineLevel="0" collapsed="false">
      <c r="A235" s="5" t="s">
        <v>352</v>
      </c>
      <c r="B235" s="41" t="n">
        <v>46256</v>
      </c>
      <c r="C235" s="5" t="s">
        <v>99</v>
      </c>
      <c r="D235" s="5" t="s">
        <v>122</v>
      </c>
      <c r="E235" s="43" t="n">
        <v>157834</v>
      </c>
      <c r="F235" s="27" t="str">
        <f aca="false">INDEX(Setup!$B$13:$B$26,MATCH(C235,Setup!$A$13:$A$26,0))</f>
        <v>West</v>
      </c>
      <c r="G235" s="28" t="n">
        <f aca="false">B235+INDEX(Setup!$C$13:$C$26,MATCH(C235,Setup!$A$13:$A$26,0))</f>
        <v>46301</v>
      </c>
      <c r="H235" s="29" t="n">
        <f aca="false">SUMIFS(Collections!$E$6:$E$2000,Collections!$C$6:$C$2000,A235)</f>
        <v>0</v>
      </c>
      <c r="I235" s="44" t="n">
        <f aca="false">E235-H235</f>
        <v>157834</v>
      </c>
      <c r="J235" s="31" t="n">
        <f aca="false">IF(I235&gt;Setup!$B$9,Setup!$B$5-G235,"")</f>
        <v>-6</v>
      </c>
      <c r="K235" s="8" t="str">
        <f aca="false">IF(I235&lt;=Setup!$B$9,"Settled",IF(J235&lt;=0,"Not yet due",IF(J235&lt;=30,"1-30 days",IF(J235&lt;=60,"31-60 days",IF(J235&lt;=90,"61-90 days","Over 90 days")))))</f>
        <v>Not yet due</v>
      </c>
    </row>
    <row r="236" customFormat="false" ht="15" hidden="false" customHeight="false" outlineLevel="0" collapsed="false">
      <c r="A236" s="5" t="s">
        <v>353</v>
      </c>
      <c r="B236" s="41" t="n">
        <v>46259</v>
      </c>
      <c r="C236" s="5" t="s">
        <v>103</v>
      </c>
      <c r="D236" s="5" t="s">
        <v>128</v>
      </c>
      <c r="E236" s="43" t="n">
        <v>100442</v>
      </c>
      <c r="F236" s="27" t="str">
        <f aca="false">INDEX(Setup!$B$13:$B$26,MATCH(C236,Setup!$A$13:$A$26,0))</f>
        <v>North</v>
      </c>
      <c r="G236" s="28" t="n">
        <f aca="false">B236+INDEX(Setup!$C$13:$C$26,MATCH(C236,Setup!$A$13:$A$26,0))</f>
        <v>46289</v>
      </c>
      <c r="H236" s="29" t="n">
        <f aca="false">SUMIFS(Collections!$E$6:$E$2000,Collections!$C$6:$C$2000,A236)</f>
        <v>0</v>
      </c>
      <c r="I236" s="44" t="n">
        <f aca="false">E236-H236</f>
        <v>100442</v>
      </c>
      <c r="J236" s="31" t="n">
        <f aca="false">IF(I236&gt;Setup!$B$9,Setup!$B$5-G236,"")</f>
        <v>6</v>
      </c>
      <c r="K236" s="8" t="str">
        <f aca="false">IF(I236&lt;=Setup!$B$9,"Settled",IF(J236&lt;=0,"Not yet due",IF(J236&lt;=30,"1-30 days",IF(J236&lt;=60,"31-60 days",IF(J236&lt;=90,"61-90 days","Over 90 days")))))</f>
        <v>1-30 days</v>
      </c>
    </row>
    <row r="237" customFormat="false" ht="15" hidden="false" customHeight="false" outlineLevel="0" collapsed="false">
      <c r="A237" s="5" t="s">
        <v>354</v>
      </c>
      <c r="B237" s="41" t="n">
        <v>46260</v>
      </c>
      <c r="C237" s="5" t="s">
        <v>90</v>
      </c>
      <c r="D237" s="5" t="s">
        <v>120</v>
      </c>
      <c r="E237" s="43" t="n">
        <v>286960</v>
      </c>
      <c r="F237" s="27" t="str">
        <f aca="false">INDEX(Setup!$B$13:$B$26,MATCH(C237,Setup!$A$13:$A$26,0))</f>
        <v>East</v>
      </c>
      <c r="G237" s="28" t="n">
        <f aca="false">B237+INDEX(Setup!$C$13:$C$26,MATCH(C237,Setup!$A$13:$A$26,0))</f>
        <v>46290</v>
      </c>
      <c r="H237" s="29" t="n">
        <f aca="false">SUMIFS(Collections!$E$6:$E$2000,Collections!$C$6:$C$2000,A237)</f>
        <v>0</v>
      </c>
      <c r="I237" s="44" t="n">
        <f aca="false">E237-H237</f>
        <v>286960</v>
      </c>
      <c r="J237" s="31" t="n">
        <f aca="false">IF(I237&gt;Setup!$B$9,Setup!$B$5-G237,"")</f>
        <v>5</v>
      </c>
      <c r="K237" s="8" t="str">
        <f aca="false">IF(I237&lt;=Setup!$B$9,"Settled",IF(J237&lt;=0,"Not yet due",IF(J237&lt;=30,"1-30 days",IF(J237&lt;=60,"31-60 days",IF(J237&lt;=90,"61-90 days","Over 90 days")))))</f>
        <v>1-30 days</v>
      </c>
    </row>
    <row r="238" customFormat="false" ht="15" hidden="false" customHeight="false" outlineLevel="0" collapsed="false">
      <c r="A238" s="5" t="s">
        <v>355</v>
      </c>
      <c r="B238" s="41" t="n">
        <v>46261</v>
      </c>
      <c r="C238" s="5" t="s">
        <v>105</v>
      </c>
      <c r="D238" s="5" t="s">
        <v>122</v>
      </c>
      <c r="E238" s="43" t="n">
        <v>131202</v>
      </c>
      <c r="F238" s="27" t="str">
        <f aca="false">INDEX(Setup!$B$13:$B$26,MATCH(C238,Setup!$A$13:$A$26,0))</f>
        <v>South</v>
      </c>
      <c r="G238" s="28" t="n">
        <f aca="false">B238+INDEX(Setup!$C$13:$C$26,MATCH(C238,Setup!$A$13:$A$26,0))</f>
        <v>46291</v>
      </c>
      <c r="H238" s="29" t="n">
        <f aca="false">SUMIFS(Collections!$E$6:$E$2000,Collections!$C$6:$C$2000,A238)</f>
        <v>0</v>
      </c>
      <c r="I238" s="44" t="n">
        <f aca="false">E238-H238</f>
        <v>131202</v>
      </c>
      <c r="J238" s="31" t="n">
        <f aca="false">IF(I238&gt;Setup!$B$9,Setup!$B$5-G238,"")</f>
        <v>4</v>
      </c>
      <c r="K238" s="8" t="str">
        <f aca="false">IF(I238&lt;=Setup!$B$9,"Settled",IF(J238&lt;=0,"Not yet due",IF(J238&lt;=30,"1-30 days",IF(J238&lt;=60,"31-60 days",IF(J238&lt;=90,"61-90 days","Over 90 days")))))</f>
        <v>1-30 days</v>
      </c>
    </row>
    <row r="239" customFormat="false" ht="15" hidden="false" customHeight="false" outlineLevel="0" collapsed="false">
      <c r="A239" s="5" t="s">
        <v>356</v>
      </c>
      <c r="B239" s="41" t="n">
        <v>46262</v>
      </c>
      <c r="C239" s="5" t="s">
        <v>108</v>
      </c>
      <c r="D239" s="5" t="s">
        <v>120</v>
      </c>
      <c r="E239" s="43" t="n">
        <v>339390</v>
      </c>
      <c r="F239" s="27" t="str">
        <f aca="false">INDEX(Setup!$B$13:$B$26,MATCH(C239,Setup!$A$13:$A$26,0))</f>
        <v>South</v>
      </c>
      <c r="G239" s="28" t="n">
        <f aca="false">B239+INDEX(Setup!$C$13:$C$26,MATCH(C239,Setup!$A$13:$A$26,0))</f>
        <v>46292</v>
      </c>
      <c r="H239" s="29" t="n">
        <f aca="false">SUMIFS(Collections!$E$6:$E$2000,Collections!$C$6:$C$2000,A239)</f>
        <v>0</v>
      </c>
      <c r="I239" s="44" t="n">
        <f aca="false">E239-H239</f>
        <v>339390</v>
      </c>
      <c r="J239" s="31" t="n">
        <f aca="false">IF(I239&gt;Setup!$B$9,Setup!$B$5-G239,"")</f>
        <v>3</v>
      </c>
      <c r="K239" s="8" t="str">
        <f aca="false">IF(I239&lt;=Setup!$B$9,"Settled",IF(J239&lt;=0,"Not yet due",IF(J239&lt;=30,"1-30 days",IF(J239&lt;=60,"31-60 days",IF(J239&lt;=90,"61-90 days","Over 90 days")))))</f>
        <v>1-30 days</v>
      </c>
    </row>
    <row r="240" customFormat="false" ht="15" hidden="false" customHeight="false" outlineLevel="0" collapsed="false">
      <c r="A240" s="5" t="s">
        <v>357</v>
      </c>
      <c r="B240" s="41" t="n">
        <v>46262</v>
      </c>
      <c r="C240" s="5" t="s">
        <v>87</v>
      </c>
      <c r="D240" s="5" t="s">
        <v>122</v>
      </c>
      <c r="E240" s="43" t="n">
        <v>283496</v>
      </c>
      <c r="F240" s="27" t="str">
        <f aca="false">INDEX(Setup!$B$13:$B$26,MATCH(C240,Setup!$A$13:$A$26,0))</f>
        <v>East</v>
      </c>
      <c r="G240" s="28" t="n">
        <f aca="false">B240+INDEX(Setup!$C$13:$C$26,MATCH(C240,Setup!$A$13:$A$26,0))</f>
        <v>46292</v>
      </c>
      <c r="H240" s="29" t="n">
        <f aca="false">SUMIFS(Collections!$E$6:$E$2000,Collections!$C$6:$C$2000,A240)</f>
        <v>0</v>
      </c>
      <c r="I240" s="44" t="n">
        <f aca="false">E240-H240</f>
        <v>283496</v>
      </c>
      <c r="J240" s="31" t="n">
        <f aca="false">IF(I240&gt;Setup!$B$9,Setup!$B$5-G240,"")</f>
        <v>3</v>
      </c>
      <c r="K240" s="8" t="str">
        <f aca="false">IF(I240&lt;=Setup!$B$9,"Settled",IF(J240&lt;=0,"Not yet due",IF(J240&lt;=30,"1-30 days",IF(J240&lt;=60,"31-60 days",IF(J240&lt;=90,"61-90 days","Over 90 days")))))</f>
        <v>1-30 days</v>
      </c>
    </row>
    <row r="241" customFormat="false" ht="15" hidden="false" customHeight="false" outlineLevel="0" collapsed="false">
      <c r="A241" s="5" t="s">
        <v>358</v>
      </c>
      <c r="B241" s="41" t="n">
        <v>46263</v>
      </c>
      <c r="C241" s="5" t="s">
        <v>94</v>
      </c>
      <c r="D241" s="5" t="s">
        <v>128</v>
      </c>
      <c r="E241" s="43" t="n">
        <v>184435</v>
      </c>
      <c r="F241" s="27" t="str">
        <f aca="false">INDEX(Setup!$B$13:$B$26,MATCH(C241,Setup!$A$13:$A$26,0))</f>
        <v>West</v>
      </c>
      <c r="G241" s="28" t="n">
        <f aca="false">B241+INDEX(Setup!$C$13:$C$26,MATCH(C241,Setup!$A$13:$A$26,0))</f>
        <v>46293</v>
      </c>
      <c r="H241" s="29" t="n">
        <f aca="false">SUMIFS(Collections!$E$6:$E$2000,Collections!$C$6:$C$2000,A241)</f>
        <v>0</v>
      </c>
      <c r="I241" s="44" t="n">
        <f aca="false">E241-H241</f>
        <v>184435</v>
      </c>
      <c r="J241" s="31" t="n">
        <f aca="false">IF(I241&gt;Setup!$B$9,Setup!$B$5-G241,"")</f>
        <v>2</v>
      </c>
      <c r="K241" s="8" t="str">
        <f aca="false">IF(I241&lt;=Setup!$B$9,"Settled",IF(J241&lt;=0,"Not yet due",IF(J241&lt;=30,"1-30 days",IF(J241&lt;=60,"31-60 days",IF(J241&lt;=90,"61-90 days","Over 90 days")))))</f>
        <v>1-30 days</v>
      </c>
    </row>
    <row r="242" customFormat="false" ht="15" hidden="false" customHeight="false" outlineLevel="0" collapsed="false">
      <c r="A242" s="5" t="s">
        <v>359</v>
      </c>
      <c r="B242" s="41" t="n">
        <v>46263</v>
      </c>
      <c r="C242" s="5" t="s">
        <v>87</v>
      </c>
      <c r="D242" s="5" t="s">
        <v>133</v>
      </c>
      <c r="E242" s="43" t="n">
        <v>123478</v>
      </c>
      <c r="F242" s="27" t="str">
        <f aca="false">INDEX(Setup!$B$13:$B$26,MATCH(C242,Setup!$A$13:$A$26,0))</f>
        <v>East</v>
      </c>
      <c r="G242" s="28" t="n">
        <f aca="false">B242+INDEX(Setup!$C$13:$C$26,MATCH(C242,Setup!$A$13:$A$26,0))</f>
        <v>46293</v>
      </c>
      <c r="H242" s="29" t="n">
        <f aca="false">SUMIFS(Collections!$E$6:$E$2000,Collections!$C$6:$C$2000,A242)</f>
        <v>0</v>
      </c>
      <c r="I242" s="44" t="n">
        <f aca="false">E242-H242</f>
        <v>123478</v>
      </c>
      <c r="J242" s="31" t="n">
        <f aca="false">IF(I242&gt;Setup!$B$9,Setup!$B$5-G242,"")</f>
        <v>2</v>
      </c>
      <c r="K242" s="8" t="str">
        <f aca="false">IF(I242&lt;=Setup!$B$9,"Settled",IF(J242&lt;=0,"Not yet due",IF(J242&lt;=30,"1-30 days",IF(J242&lt;=60,"31-60 days",IF(J242&lt;=90,"61-90 days","Over 90 days")))))</f>
        <v>1-30 days</v>
      </c>
    </row>
    <row r="243" customFormat="false" ht="15" hidden="false" customHeight="false" outlineLevel="0" collapsed="false">
      <c r="A243" s="5" t="s">
        <v>360</v>
      </c>
      <c r="B243" s="41" t="n">
        <v>46265</v>
      </c>
      <c r="C243" s="5" t="s">
        <v>109</v>
      </c>
      <c r="D243" s="5" t="s">
        <v>122</v>
      </c>
      <c r="E243" s="43" t="n">
        <v>97923</v>
      </c>
      <c r="F243" s="27" t="str">
        <f aca="false">INDEX(Setup!$B$13:$B$26,MATCH(C243,Setup!$A$13:$A$26,0))</f>
        <v>South</v>
      </c>
      <c r="G243" s="28" t="n">
        <f aca="false">B243+INDEX(Setup!$C$13:$C$26,MATCH(C243,Setup!$A$13:$A$26,0))</f>
        <v>46310</v>
      </c>
      <c r="H243" s="29" t="n">
        <f aca="false">SUMIFS(Collections!$E$6:$E$2000,Collections!$C$6:$C$2000,A243)</f>
        <v>0</v>
      </c>
      <c r="I243" s="44" t="n">
        <f aca="false">E243-H243</f>
        <v>97923</v>
      </c>
      <c r="J243" s="31" t="n">
        <f aca="false">IF(I243&gt;Setup!$B$9,Setup!$B$5-G243,"")</f>
        <v>-15</v>
      </c>
      <c r="K243" s="8" t="str">
        <f aca="false">IF(I243&lt;=Setup!$B$9,"Settled",IF(J243&lt;=0,"Not yet due",IF(J243&lt;=30,"1-30 days",IF(J243&lt;=60,"31-60 days",IF(J243&lt;=90,"61-90 days","Over 90 days")))))</f>
        <v>Not yet due</v>
      </c>
    </row>
    <row r="244" customFormat="false" ht="15" hidden="false" customHeight="false" outlineLevel="0" collapsed="false">
      <c r="A244" s="5" t="s">
        <v>361</v>
      </c>
      <c r="B244" s="41" t="n">
        <v>46265</v>
      </c>
      <c r="C244" s="5" t="s">
        <v>92</v>
      </c>
      <c r="D244" s="5" t="s">
        <v>122</v>
      </c>
      <c r="E244" s="43" t="n">
        <v>109604</v>
      </c>
      <c r="F244" s="27" t="str">
        <f aca="false">INDEX(Setup!$B$13:$B$26,MATCH(C244,Setup!$A$13:$A$26,0))</f>
        <v>East</v>
      </c>
      <c r="G244" s="28" t="n">
        <f aca="false">B244+INDEX(Setup!$C$13:$C$26,MATCH(C244,Setup!$A$13:$A$26,0))</f>
        <v>46310</v>
      </c>
      <c r="H244" s="29" t="n">
        <f aca="false">SUMIFS(Collections!$E$6:$E$2000,Collections!$C$6:$C$2000,A244)</f>
        <v>0</v>
      </c>
      <c r="I244" s="44" t="n">
        <f aca="false">E244-H244</f>
        <v>109604</v>
      </c>
      <c r="J244" s="31" t="n">
        <f aca="false">IF(I244&gt;Setup!$B$9,Setup!$B$5-G244,"")</f>
        <v>-15</v>
      </c>
      <c r="K244" s="8" t="str">
        <f aca="false">IF(I244&lt;=Setup!$B$9,"Settled",IF(J244&lt;=0,"Not yet due",IF(J244&lt;=30,"1-30 days",IF(J244&lt;=60,"31-60 days",IF(J244&lt;=90,"61-90 days","Over 90 days")))))</f>
        <v>Not yet due</v>
      </c>
    </row>
    <row r="245" customFormat="false" ht="15" hidden="false" customHeight="false" outlineLevel="0" collapsed="false">
      <c r="A245" s="5" t="s">
        <v>362</v>
      </c>
      <c r="B245" s="41" t="n">
        <v>46265</v>
      </c>
      <c r="C245" s="5" t="s">
        <v>100</v>
      </c>
      <c r="D245" s="5" t="s">
        <v>128</v>
      </c>
      <c r="E245" s="43" t="n">
        <v>406600</v>
      </c>
      <c r="F245" s="27" t="str">
        <f aca="false">INDEX(Setup!$B$13:$B$26,MATCH(C245,Setup!$A$13:$A$26,0))</f>
        <v>North</v>
      </c>
      <c r="G245" s="28" t="n">
        <f aca="false">B245+INDEX(Setup!$C$13:$C$26,MATCH(C245,Setup!$A$13:$A$26,0))</f>
        <v>46295</v>
      </c>
      <c r="H245" s="29" t="n">
        <f aca="false">SUMIFS(Collections!$E$6:$E$2000,Collections!$C$6:$C$2000,A245)</f>
        <v>0</v>
      </c>
      <c r="I245" s="44" t="n">
        <f aca="false">E245-H245</f>
        <v>406600</v>
      </c>
      <c r="J245" s="31" t="n">
        <f aca="false">IF(I245&gt;Setup!$B$9,Setup!$B$5-G245,"")</f>
        <v>0</v>
      </c>
      <c r="K245" s="8" t="str">
        <f aca="false">IF(I245&lt;=Setup!$B$9,"Settled",IF(J245&lt;=0,"Not yet due",IF(J245&lt;=30,"1-30 days",IF(J245&lt;=60,"31-60 days",IF(J245&lt;=90,"61-90 days","Over 90 days")))))</f>
        <v>Not yet due</v>
      </c>
    </row>
    <row r="246" customFormat="false" ht="15" hidden="false" customHeight="false" outlineLevel="0" collapsed="false">
      <c r="A246" s="5" t="s">
        <v>363</v>
      </c>
      <c r="B246" s="41" t="n">
        <v>46266</v>
      </c>
      <c r="C246" s="5" t="s">
        <v>102</v>
      </c>
      <c r="D246" s="5" t="s">
        <v>128</v>
      </c>
      <c r="E246" s="43" t="n">
        <v>362300</v>
      </c>
      <c r="F246" s="27" t="str">
        <f aca="false">INDEX(Setup!$B$13:$B$26,MATCH(C246,Setup!$A$13:$A$26,0))</f>
        <v>North</v>
      </c>
      <c r="G246" s="28" t="n">
        <f aca="false">B246+INDEX(Setup!$C$13:$C$26,MATCH(C246,Setup!$A$13:$A$26,0))</f>
        <v>46296</v>
      </c>
      <c r="H246" s="29" t="n">
        <f aca="false">SUMIFS(Collections!$E$6:$E$2000,Collections!$C$6:$C$2000,A246)</f>
        <v>0</v>
      </c>
      <c r="I246" s="44" t="n">
        <f aca="false">E246-H246</f>
        <v>362300</v>
      </c>
      <c r="J246" s="31" t="n">
        <f aca="false">IF(I246&gt;Setup!$B$9,Setup!$B$5-G246,"")</f>
        <v>-1</v>
      </c>
      <c r="K246" s="8" t="str">
        <f aca="false">IF(I246&lt;=Setup!$B$9,"Settled",IF(J246&lt;=0,"Not yet due",IF(J246&lt;=30,"1-30 days",IF(J246&lt;=60,"31-60 days",IF(J246&lt;=90,"61-90 days","Over 90 days")))))</f>
        <v>Not yet due</v>
      </c>
    </row>
    <row r="247" customFormat="false" ht="15" hidden="false" customHeight="false" outlineLevel="0" collapsed="false">
      <c r="A247" s="5" t="s">
        <v>364</v>
      </c>
      <c r="B247" s="41" t="n">
        <v>46269</v>
      </c>
      <c r="C247" s="5" t="s">
        <v>103</v>
      </c>
      <c r="D247" s="5" t="s">
        <v>122</v>
      </c>
      <c r="E247" s="43" t="n">
        <v>226021</v>
      </c>
      <c r="F247" s="27" t="str">
        <f aca="false">INDEX(Setup!$B$13:$B$26,MATCH(C247,Setup!$A$13:$A$26,0))</f>
        <v>North</v>
      </c>
      <c r="G247" s="28" t="n">
        <f aca="false">B247+INDEX(Setup!$C$13:$C$26,MATCH(C247,Setup!$A$13:$A$26,0))</f>
        <v>46299</v>
      </c>
      <c r="H247" s="29" t="n">
        <f aca="false">SUMIFS(Collections!$E$6:$E$2000,Collections!$C$6:$C$2000,A247)</f>
        <v>0</v>
      </c>
      <c r="I247" s="44" t="n">
        <f aca="false">E247-H247</f>
        <v>226021</v>
      </c>
      <c r="J247" s="31" t="n">
        <f aca="false">IF(I247&gt;Setup!$B$9,Setup!$B$5-G247,"")</f>
        <v>-4</v>
      </c>
      <c r="K247" s="8" t="str">
        <f aca="false">IF(I247&lt;=Setup!$B$9,"Settled",IF(J247&lt;=0,"Not yet due",IF(J247&lt;=30,"1-30 days",IF(J247&lt;=60,"31-60 days",IF(J247&lt;=90,"61-90 days","Over 90 days")))))</f>
        <v>Not yet due</v>
      </c>
    </row>
    <row r="248" customFormat="false" ht="15" hidden="false" customHeight="false" outlineLevel="0" collapsed="false">
      <c r="A248" s="5" t="s">
        <v>365</v>
      </c>
      <c r="B248" s="41" t="n">
        <v>46269</v>
      </c>
      <c r="C248" s="5" t="s">
        <v>97</v>
      </c>
      <c r="D248" s="5" t="s">
        <v>133</v>
      </c>
      <c r="E248" s="43" t="n">
        <v>351811</v>
      </c>
      <c r="F248" s="27" t="str">
        <f aca="false">INDEX(Setup!$B$13:$B$26,MATCH(C248,Setup!$A$13:$A$26,0))</f>
        <v>West</v>
      </c>
      <c r="G248" s="28" t="n">
        <f aca="false">B248+INDEX(Setup!$C$13:$C$26,MATCH(C248,Setup!$A$13:$A$26,0))</f>
        <v>46299</v>
      </c>
      <c r="H248" s="29" t="n">
        <f aca="false">SUMIFS(Collections!$E$6:$E$2000,Collections!$C$6:$C$2000,A248)</f>
        <v>0</v>
      </c>
      <c r="I248" s="44" t="n">
        <f aca="false">E248-H248</f>
        <v>351811</v>
      </c>
      <c r="J248" s="31" t="n">
        <f aca="false">IF(I248&gt;Setup!$B$9,Setup!$B$5-G248,"")</f>
        <v>-4</v>
      </c>
      <c r="K248" s="8" t="str">
        <f aca="false">IF(I248&lt;=Setup!$B$9,"Settled",IF(J248&lt;=0,"Not yet due",IF(J248&lt;=30,"1-30 days",IF(J248&lt;=60,"31-60 days",IF(J248&lt;=90,"61-90 days","Over 90 days")))))</f>
        <v>Not yet due</v>
      </c>
    </row>
    <row r="249" customFormat="false" ht="15" hidden="false" customHeight="false" outlineLevel="0" collapsed="false">
      <c r="A249" s="5" t="s">
        <v>366</v>
      </c>
      <c r="B249" s="41" t="n">
        <v>46270</v>
      </c>
      <c r="C249" s="5" t="s">
        <v>103</v>
      </c>
      <c r="D249" s="5" t="s">
        <v>128</v>
      </c>
      <c r="E249" s="43" t="n">
        <v>112556</v>
      </c>
      <c r="F249" s="27" t="str">
        <f aca="false">INDEX(Setup!$B$13:$B$26,MATCH(C249,Setup!$A$13:$A$26,0))</f>
        <v>North</v>
      </c>
      <c r="G249" s="28" t="n">
        <f aca="false">B249+INDEX(Setup!$C$13:$C$26,MATCH(C249,Setup!$A$13:$A$26,0))</f>
        <v>46300</v>
      </c>
      <c r="H249" s="29" t="n">
        <f aca="false">SUMIFS(Collections!$E$6:$E$2000,Collections!$C$6:$C$2000,A249)</f>
        <v>0</v>
      </c>
      <c r="I249" s="44" t="n">
        <f aca="false">E249-H249</f>
        <v>112556</v>
      </c>
      <c r="J249" s="31" t="n">
        <f aca="false">IF(I249&gt;Setup!$B$9,Setup!$B$5-G249,"")</f>
        <v>-5</v>
      </c>
      <c r="K249" s="8" t="str">
        <f aca="false">IF(I249&lt;=Setup!$B$9,"Settled",IF(J249&lt;=0,"Not yet due",IF(J249&lt;=30,"1-30 days",IF(J249&lt;=60,"31-60 days",IF(J249&lt;=90,"61-90 days","Over 90 days")))))</f>
        <v>Not yet due</v>
      </c>
    </row>
    <row r="250" customFormat="false" ht="15" hidden="false" customHeight="false" outlineLevel="0" collapsed="false">
      <c r="A250" s="5" t="s">
        <v>367</v>
      </c>
      <c r="B250" s="41" t="n">
        <v>46271</v>
      </c>
      <c r="C250" s="5" t="s">
        <v>103</v>
      </c>
      <c r="D250" s="5" t="s">
        <v>133</v>
      </c>
      <c r="E250" s="43" t="n">
        <v>180072</v>
      </c>
      <c r="F250" s="27" t="str">
        <f aca="false">INDEX(Setup!$B$13:$B$26,MATCH(C250,Setup!$A$13:$A$26,0))</f>
        <v>North</v>
      </c>
      <c r="G250" s="28" t="n">
        <f aca="false">B250+INDEX(Setup!$C$13:$C$26,MATCH(C250,Setup!$A$13:$A$26,0))</f>
        <v>46301</v>
      </c>
      <c r="H250" s="29" t="n">
        <f aca="false">SUMIFS(Collections!$E$6:$E$2000,Collections!$C$6:$C$2000,A250)</f>
        <v>0</v>
      </c>
      <c r="I250" s="44" t="n">
        <f aca="false">E250-H250</f>
        <v>180072</v>
      </c>
      <c r="J250" s="31" t="n">
        <f aca="false">IF(I250&gt;Setup!$B$9,Setup!$B$5-G250,"")</f>
        <v>-6</v>
      </c>
      <c r="K250" s="8" t="str">
        <f aca="false">IF(I250&lt;=Setup!$B$9,"Settled",IF(J250&lt;=0,"Not yet due",IF(J250&lt;=30,"1-30 days",IF(J250&lt;=60,"31-60 days",IF(J250&lt;=90,"61-90 days","Over 90 days")))))</f>
        <v>Not yet due</v>
      </c>
    </row>
    <row r="251" customFormat="false" ht="15" hidden="false" customHeight="false" outlineLevel="0" collapsed="false">
      <c r="A251" s="5" t="s">
        <v>368</v>
      </c>
      <c r="B251" s="41" t="n">
        <v>46271</v>
      </c>
      <c r="C251" s="5" t="s">
        <v>97</v>
      </c>
      <c r="D251" s="5" t="s">
        <v>120</v>
      </c>
      <c r="E251" s="43" t="n">
        <v>419377</v>
      </c>
      <c r="F251" s="27" t="str">
        <f aca="false">INDEX(Setup!$B$13:$B$26,MATCH(C251,Setup!$A$13:$A$26,0))</f>
        <v>West</v>
      </c>
      <c r="G251" s="28" t="n">
        <f aca="false">B251+INDEX(Setup!$C$13:$C$26,MATCH(C251,Setup!$A$13:$A$26,0))</f>
        <v>46301</v>
      </c>
      <c r="H251" s="29" t="n">
        <f aca="false">SUMIFS(Collections!$E$6:$E$2000,Collections!$C$6:$C$2000,A251)</f>
        <v>0</v>
      </c>
      <c r="I251" s="44" t="n">
        <f aca="false">E251-H251</f>
        <v>419377</v>
      </c>
      <c r="J251" s="31" t="n">
        <f aca="false">IF(I251&gt;Setup!$B$9,Setup!$B$5-G251,"")</f>
        <v>-6</v>
      </c>
      <c r="K251" s="8" t="str">
        <f aca="false">IF(I251&lt;=Setup!$B$9,"Settled",IF(J251&lt;=0,"Not yet due",IF(J251&lt;=30,"1-30 days",IF(J251&lt;=60,"31-60 days",IF(J251&lt;=90,"61-90 days","Over 90 days")))))</f>
        <v>Not yet due</v>
      </c>
    </row>
    <row r="252" customFormat="false" ht="15" hidden="false" customHeight="false" outlineLevel="0" collapsed="false">
      <c r="A252" s="5" t="s">
        <v>369</v>
      </c>
      <c r="B252" s="41" t="n">
        <v>46273</v>
      </c>
      <c r="C252" s="5" t="s">
        <v>97</v>
      </c>
      <c r="D252" s="5" t="s">
        <v>128</v>
      </c>
      <c r="E252" s="43" t="n">
        <v>273018</v>
      </c>
      <c r="F252" s="27" t="str">
        <f aca="false">INDEX(Setup!$B$13:$B$26,MATCH(C252,Setup!$A$13:$A$26,0))</f>
        <v>West</v>
      </c>
      <c r="G252" s="28" t="n">
        <f aca="false">B252+INDEX(Setup!$C$13:$C$26,MATCH(C252,Setup!$A$13:$A$26,0))</f>
        <v>46303</v>
      </c>
      <c r="H252" s="29" t="n">
        <f aca="false">SUMIFS(Collections!$E$6:$E$2000,Collections!$C$6:$C$2000,A252)</f>
        <v>0</v>
      </c>
      <c r="I252" s="44" t="n">
        <f aca="false">E252-H252</f>
        <v>273018</v>
      </c>
      <c r="J252" s="31" t="n">
        <f aca="false">IF(I252&gt;Setup!$B$9,Setup!$B$5-G252,"")</f>
        <v>-8</v>
      </c>
      <c r="K252" s="8" t="str">
        <f aca="false">IF(I252&lt;=Setup!$B$9,"Settled",IF(J252&lt;=0,"Not yet due",IF(J252&lt;=30,"1-30 days",IF(J252&lt;=60,"31-60 days",IF(J252&lt;=90,"61-90 days","Over 90 days")))))</f>
        <v>Not yet due</v>
      </c>
    </row>
    <row r="253" customFormat="false" ht="15" hidden="false" customHeight="false" outlineLevel="0" collapsed="false">
      <c r="A253" s="5" t="s">
        <v>370</v>
      </c>
      <c r="B253" s="41" t="n">
        <v>46274</v>
      </c>
      <c r="C253" s="5" t="s">
        <v>92</v>
      </c>
      <c r="D253" s="5" t="s">
        <v>120</v>
      </c>
      <c r="E253" s="43" t="n">
        <v>69238</v>
      </c>
      <c r="F253" s="27" t="str">
        <f aca="false">INDEX(Setup!$B$13:$B$26,MATCH(C253,Setup!$A$13:$A$26,0))</f>
        <v>East</v>
      </c>
      <c r="G253" s="28" t="n">
        <f aca="false">B253+INDEX(Setup!$C$13:$C$26,MATCH(C253,Setup!$A$13:$A$26,0))</f>
        <v>46319</v>
      </c>
      <c r="H253" s="29" t="n">
        <f aca="false">SUMIFS(Collections!$E$6:$E$2000,Collections!$C$6:$C$2000,A253)</f>
        <v>0</v>
      </c>
      <c r="I253" s="44" t="n">
        <f aca="false">E253-H253</f>
        <v>69238</v>
      </c>
      <c r="J253" s="31" t="n">
        <f aca="false">IF(I253&gt;Setup!$B$9,Setup!$B$5-G253,"")</f>
        <v>-24</v>
      </c>
      <c r="K253" s="8" t="str">
        <f aca="false">IF(I253&lt;=Setup!$B$9,"Settled",IF(J253&lt;=0,"Not yet due",IF(J253&lt;=30,"1-30 days",IF(J253&lt;=60,"31-60 days",IF(J253&lt;=90,"61-90 days","Over 90 days")))))</f>
        <v>Not yet due</v>
      </c>
    </row>
    <row r="254" customFormat="false" ht="15" hidden="false" customHeight="false" outlineLevel="0" collapsed="false">
      <c r="A254" s="5" t="s">
        <v>371</v>
      </c>
      <c r="B254" s="41" t="n">
        <v>46276</v>
      </c>
      <c r="C254" s="5" t="s">
        <v>92</v>
      </c>
      <c r="D254" s="5" t="s">
        <v>122</v>
      </c>
      <c r="E254" s="43" t="n">
        <v>240262</v>
      </c>
      <c r="F254" s="27" t="str">
        <f aca="false">INDEX(Setup!$B$13:$B$26,MATCH(C254,Setup!$A$13:$A$26,0))</f>
        <v>East</v>
      </c>
      <c r="G254" s="28" t="n">
        <f aca="false">B254+INDEX(Setup!$C$13:$C$26,MATCH(C254,Setup!$A$13:$A$26,0))</f>
        <v>46321</v>
      </c>
      <c r="H254" s="29" t="n">
        <f aca="false">SUMIFS(Collections!$E$6:$E$2000,Collections!$C$6:$C$2000,A254)</f>
        <v>0</v>
      </c>
      <c r="I254" s="44" t="n">
        <f aca="false">E254-H254</f>
        <v>240262</v>
      </c>
      <c r="J254" s="31" t="n">
        <f aca="false">IF(I254&gt;Setup!$B$9,Setup!$B$5-G254,"")</f>
        <v>-26</v>
      </c>
      <c r="K254" s="8" t="str">
        <f aca="false">IF(I254&lt;=Setup!$B$9,"Settled",IF(J254&lt;=0,"Not yet due",IF(J254&lt;=30,"1-30 days",IF(J254&lt;=60,"31-60 days",IF(J254&lt;=90,"61-90 days","Over 90 days")))))</f>
        <v>Not yet due</v>
      </c>
    </row>
    <row r="255" customFormat="false" ht="15" hidden="false" customHeight="false" outlineLevel="0" collapsed="false">
      <c r="A255" s="5" t="s">
        <v>372</v>
      </c>
      <c r="B255" s="41" t="n">
        <v>46276</v>
      </c>
      <c r="C255" s="5" t="s">
        <v>87</v>
      </c>
      <c r="D255" s="5" t="s">
        <v>122</v>
      </c>
      <c r="E255" s="43" t="n">
        <v>352682</v>
      </c>
      <c r="F255" s="27" t="str">
        <f aca="false">INDEX(Setup!$B$13:$B$26,MATCH(C255,Setup!$A$13:$A$26,0))</f>
        <v>East</v>
      </c>
      <c r="G255" s="28" t="n">
        <f aca="false">B255+INDEX(Setup!$C$13:$C$26,MATCH(C255,Setup!$A$13:$A$26,0))</f>
        <v>46306</v>
      </c>
      <c r="H255" s="29" t="n">
        <f aca="false">SUMIFS(Collections!$E$6:$E$2000,Collections!$C$6:$C$2000,A255)</f>
        <v>0</v>
      </c>
      <c r="I255" s="44" t="n">
        <f aca="false">E255-H255</f>
        <v>352682</v>
      </c>
      <c r="J255" s="31" t="n">
        <f aca="false">IF(I255&gt;Setup!$B$9,Setup!$B$5-G255,"")</f>
        <v>-11</v>
      </c>
      <c r="K255" s="8" t="str">
        <f aca="false">IF(I255&lt;=Setup!$B$9,"Settled",IF(J255&lt;=0,"Not yet due",IF(J255&lt;=30,"1-30 days",IF(J255&lt;=60,"31-60 days",IF(J255&lt;=90,"61-90 days","Over 90 days")))))</f>
        <v>Not yet due</v>
      </c>
    </row>
    <row r="256" customFormat="false" ht="15" hidden="false" customHeight="false" outlineLevel="0" collapsed="false">
      <c r="A256" s="5" t="s">
        <v>373</v>
      </c>
      <c r="B256" s="41" t="n">
        <v>46276</v>
      </c>
      <c r="C256" s="5" t="s">
        <v>103</v>
      </c>
      <c r="D256" s="5" t="s">
        <v>133</v>
      </c>
      <c r="E256" s="43" t="n">
        <v>77689</v>
      </c>
      <c r="F256" s="27" t="str">
        <f aca="false">INDEX(Setup!$B$13:$B$26,MATCH(C256,Setup!$A$13:$A$26,0))</f>
        <v>North</v>
      </c>
      <c r="G256" s="28" t="n">
        <f aca="false">B256+INDEX(Setup!$C$13:$C$26,MATCH(C256,Setup!$A$13:$A$26,0))</f>
        <v>46306</v>
      </c>
      <c r="H256" s="29" t="n">
        <f aca="false">SUMIFS(Collections!$E$6:$E$2000,Collections!$C$6:$C$2000,A256)</f>
        <v>0</v>
      </c>
      <c r="I256" s="44" t="n">
        <f aca="false">E256-H256</f>
        <v>77689</v>
      </c>
      <c r="J256" s="31" t="n">
        <f aca="false">IF(I256&gt;Setup!$B$9,Setup!$B$5-G256,"")</f>
        <v>-11</v>
      </c>
      <c r="K256" s="8" t="str">
        <f aca="false">IF(I256&lt;=Setup!$B$9,"Settled",IF(J256&lt;=0,"Not yet due",IF(J256&lt;=30,"1-30 days",IF(J256&lt;=60,"31-60 days",IF(J256&lt;=90,"61-90 days","Over 90 days")))))</f>
        <v>Not yet due</v>
      </c>
    </row>
    <row r="257" customFormat="false" ht="15" hidden="false" customHeight="false" outlineLevel="0" collapsed="false">
      <c r="A257" s="5" t="s">
        <v>374</v>
      </c>
      <c r="B257" s="41" t="n">
        <v>46277</v>
      </c>
      <c r="C257" s="5" t="s">
        <v>108</v>
      </c>
      <c r="D257" s="5" t="s">
        <v>122</v>
      </c>
      <c r="E257" s="43" t="n">
        <v>168294</v>
      </c>
      <c r="F257" s="27" t="str">
        <f aca="false">INDEX(Setup!$B$13:$B$26,MATCH(C257,Setup!$A$13:$A$26,0))</f>
        <v>South</v>
      </c>
      <c r="G257" s="28" t="n">
        <f aca="false">B257+INDEX(Setup!$C$13:$C$26,MATCH(C257,Setup!$A$13:$A$26,0))</f>
        <v>46307</v>
      </c>
      <c r="H257" s="29" t="n">
        <f aca="false">SUMIFS(Collections!$E$6:$E$2000,Collections!$C$6:$C$2000,A257)</f>
        <v>0</v>
      </c>
      <c r="I257" s="44" t="n">
        <f aca="false">E257-H257</f>
        <v>168294</v>
      </c>
      <c r="J257" s="31" t="n">
        <f aca="false">IF(I257&gt;Setup!$B$9,Setup!$B$5-G257,"")</f>
        <v>-12</v>
      </c>
      <c r="K257" s="8" t="str">
        <f aca="false">IF(I257&lt;=Setup!$B$9,"Settled",IF(J257&lt;=0,"Not yet due",IF(J257&lt;=30,"1-30 days",IF(J257&lt;=60,"31-60 days",IF(J257&lt;=90,"61-90 days","Over 90 days")))))</f>
        <v>Not yet due</v>
      </c>
    </row>
    <row r="258" customFormat="false" ht="15" hidden="false" customHeight="false" outlineLevel="0" collapsed="false">
      <c r="A258" s="5" t="s">
        <v>375</v>
      </c>
      <c r="B258" s="41" t="n">
        <v>46279</v>
      </c>
      <c r="C258" s="5" t="s">
        <v>87</v>
      </c>
      <c r="D258" s="5" t="s">
        <v>122</v>
      </c>
      <c r="E258" s="43" t="n">
        <v>132344</v>
      </c>
      <c r="F258" s="27" t="str">
        <f aca="false">INDEX(Setup!$B$13:$B$26,MATCH(C258,Setup!$A$13:$A$26,0))</f>
        <v>East</v>
      </c>
      <c r="G258" s="28" t="n">
        <f aca="false">B258+INDEX(Setup!$C$13:$C$26,MATCH(C258,Setup!$A$13:$A$26,0))</f>
        <v>46309</v>
      </c>
      <c r="H258" s="29" t="n">
        <f aca="false">SUMIFS(Collections!$E$6:$E$2000,Collections!$C$6:$C$2000,A258)</f>
        <v>0</v>
      </c>
      <c r="I258" s="44" t="n">
        <f aca="false">E258-H258</f>
        <v>132344</v>
      </c>
      <c r="J258" s="31" t="n">
        <f aca="false">IF(I258&gt;Setup!$B$9,Setup!$B$5-G258,"")</f>
        <v>-14</v>
      </c>
      <c r="K258" s="8" t="str">
        <f aca="false">IF(I258&lt;=Setup!$B$9,"Settled",IF(J258&lt;=0,"Not yet due",IF(J258&lt;=30,"1-30 days",IF(J258&lt;=60,"31-60 days",IF(J258&lt;=90,"61-90 days","Over 90 days")))))</f>
        <v>Not yet due</v>
      </c>
    </row>
    <row r="259" customFormat="false" ht="15" hidden="false" customHeight="false" outlineLevel="0" collapsed="false">
      <c r="A259" s="5" t="s">
        <v>376</v>
      </c>
      <c r="B259" s="41" t="n">
        <v>46279</v>
      </c>
      <c r="C259" s="5" t="s">
        <v>90</v>
      </c>
      <c r="D259" s="5" t="s">
        <v>122</v>
      </c>
      <c r="E259" s="43" t="n">
        <v>123903</v>
      </c>
      <c r="F259" s="27" t="str">
        <f aca="false">INDEX(Setup!$B$13:$B$26,MATCH(C259,Setup!$A$13:$A$26,0))</f>
        <v>East</v>
      </c>
      <c r="G259" s="28" t="n">
        <f aca="false">B259+INDEX(Setup!$C$13:$C$26,MATCH(C259,Setup!$A$13:$A$26,0))</f>
        <v>46309</v>
      </c>
      <c r="H259" s="29" t="n">
        <f aca="false">SUMIFS(Collections!$E$6:$E$2000,Collections!$C$6:$C$2000,A259)</f>
        <v>0</v>
      </c>
      <c r="I259" s="44" t="n">
        <f aca="false">E259-H259</f>
        <v>123903</v>
      </c>
      <c r="J259" s="31" t="n">
        <f aca="false">IF(I259&gt;Setup!$B$9,Setup!$B$5-G259,"")</f>
        <v>-14</v>
      </c>
      <c r="K259" s="8" t="str">
        <f aca="false">IF(I259&lt;=Setup!$B$9,"Settled",IF(J259&lt;=0,"Not yet due",IF(J259&lt;=30,"1-30 days",IF(J259&lt;=60,"31-60 days",IF(J259&lt;=90,"61-90 days","Over 90 days")))))</f>
        <v>Not yet due</v>
      </c>
    </row>
    <row r="260" customFormat="false" ht="15" hidden="false" customHeight="false" outlineLevel="0" collapsed="false">
      <c r="A260" s="5" t="s">
        <v>377</v>
      </c>
      <c r="B260" s="41" t="n">
        <v>46280</v>
      </c>
      <c r="C260" s="5" t="s">
        <v>105</v>
      </c>
      <c r="D260" s="5" t="s">
        <v>133</v>
      </c>
      <c r="E260" s="43" t="n">
        <v>95781</v>
      </c>
      <c r="F260" s="27" t="str">
        <f aca="false">INDEX(Setup!$B$13:$B$26,MATCH(C260,Setup!$A$13:$A$26,0))</f>
        <v>South</v>
      </c>
      <c r="G260" s="28" t="n">
        <f aca="false">B260+INDEX(Setup!$C$13:$C$26,MATCH(C260,Setup!$A$13:$A$26,0))</f>
        <v>46310</v>
      </c>
      <c r="H260" s="29" t="n">
        <f aca="false">SUMIFS(Collections!$E$6:$E$2000,Collections!$C$6:$C$2000,A260)</f>
        <v>0</v>
      </c>
      <c r="I260" s="44" t="n">
        <f aca="false">E260-H260</f>
        <v>95781</v>
      </c>
      <c r="J260" s="31" t="n">
        <f aca="false">IF(I260&gt;Setup!$B$9,Setup!$B$5-G260,"")</f>
        <v>-15</v>
      </c>
      <c r="K260" s="8" t="str">
        <f aca="false">IF(I260&lt;=Setup!$B$9,"Settled",IF(J260&lt;=0,"Not yet due",IF(J260&lt;=30,"1-30 days",IF(J260&lt;=60,"31-60 days",IF(J260&lt;=90,"61-90 days","Over 90 days")))))</f>
        <v>Not yet due</v>
      </c>
    </row>
    <row r="261" customFormat="false" ht="15" hidden="false" customHeight="false" outlineLevel="0" collapsed="false">
      <c r="A261" s="5" t="s">
        <v>378</v>
      </c>
      <c r="B261" s="41" t="n">
        <v>46280</v>
      </c>
      <c r="C261" s="5" t="s">
        <v>104</v>
      </c>
      <c r="D261" s="5" t="s">
        <v>128</v>
      </c>
      <c r="E261" s="43" t="n">
        <v>345696</v>
      </c>
      <c r="F261" s="27" t="str">
        <f aca="false">INDEX(Setup!$B$13:$B$26,MATCH(C261,Setup!$A$13:$A$26,0))</f>
        <v>North</v>
      </c>
      <c r="G261" s="28" t="n">
        <f aca="false">B261+INDEX(Setup!$C$13:$C$26,MATCH(C261,Setup!$A$13:$A$26,0))</f>
        <v>46325</v>
      </c>
      <c r="H261" s="29" t="n">
        <f aca="false">SUMIFS(Collections!$E$6:$E$2000,Collections!$C$6:$C$2000,A261)</f>
        <v>0</v>
      </c>
      <c r="I261" s="44" t="n">
        <f aca="false">E261-H261</f>
        <v>345696</v>
      </c>
      <c r="J261" s="31" t="n">
        <f aca="false">IF(I261&gt;Setup!$B$9,Setup!$B$5-G261,"")</f>
        <v>-30</v>
      </c>
      <c r="K261" s="8" t="str">
        <f aca="false">IF(I261&lt;=Setup!$B$9,"Settled",IF(J261&lt;=0,"Not yet due",IF(J261&lt;=30,"1-30 days",IF(J261&lt;=60,"31-60 days",IF(J261&lt;=90,"61-90 days","Over 90 days")))))</f>
        <v>Not yet due</v>
      </c>
    </row>
    <row r="262" customFormat="false" ht="15" hidden="false" customHeight="false" outlineLevel="0" collapsed="false">
      <c r="A262" s="5" t="s">
        <v>379</v>
      </c>
      <c r="B262" s="41" t="n">
        <v>46281</v>
      </c>
      <c r="C262" s="5" t="s">
        <v>103</v>
      </c>
      <c r="D262" s="5" t="s">
        <v>122</v>
      </c>
      <c r="E262" s="43" t="n">
        <v>197739</v>
      </c>
      <c r="F262" s="27" t="str">
        <f aca="false">INDEX(Setup!$B$13:$B$26,MATCH(C262,Setup!$A$13:$A$26,0))</f>
        <v>North</v>
      </c>
      <c r="G262" s="28" t="n">
        <f aca="false">B262+INDEX(Setup!$C$13:$C$26,MATCH(C262,Setup!$A$13:$A$26,0))</f>
        <v>46311</v>
      </c>
      <c r="H262" s="29" t="n">
        <f aca="false">SUMIFS(Collections!$E$6:$E$2000,Collections!$C$6:$C$2000,A262)</f>
        <v>0</v>
      </c>
      <c r="I262" s="44" t="n">
        <f aca="false">E262-H262</f>
        <v>197739</v>
      </c>
      <c r="J262" s="31" t="n">
        <f aca="false">IF(I262&gt;Setup!$B$9,Setup!$B$5-G262,"")</f>
        <v>-16</v>
      </c>
      <c r="K262" s="8" t="str">
        <f aca="false">IF(I262&lt;=Setup!$B$9,"Settled",IF(J262&lt;=0,"Not yet due",IF(J262&lt;=30,"1-30 days",IF(J262&lt;=60,"31-60 days",IF(J262&lt;=90,"61-90 days","Over 90 days")))))</f>
        <v>Not yet due</v>
      </c>
    </row>
    <row r="263" customFormat="false" ht="15" hidden="false" customHeight="false" outlineLevel="0" collapsed="false">
      <c r="A263" s="5" t="s">
        <v>380</v>
      </c>
      <c r="B263" s="41" t="n">
        <v>46282</v>
      </c>
      <c r="C263" s="5" t="s">
        <v>102</v>
      </c>
      <c r="D263" s="5" t="s">
        <v>120</v>
      </c>
      <c r="E263" s="43" t="n">
        <v>203655</v>
      </c>
      <c r="F263" s="27" t="str">
        <f aca="false">INDEX(Setup!$B$13:$B$26,MATCH(C263,Setup!$A$13:$A$26,0))</f>
        <v>North</v>
      </c>
      <c r="G263" s="28" t="n">
        <f aca="false">B263+INDEX(Setup!$C$13:$C$26,MATCH(C263,Setup!$A$13:$A$26,0))</f>
        <v>46312</v>
      </c>
      <c r="H263" s="29" t="n">
        <f aca="false">SUMIFS(Collections!$E$6:$E$2000,Collections!$C$6:$C$2000,A263)</f>
        <v>0</v>
      </c>
      <c r="I263" s="44" t="n">
        <f aca="false">E263-H263</f>
        <v>203655</v>
      </c>
      <c r="J263" s="31" t="n">
        <f aca="false">IF(I263&gt;Setup!$B$9,Setup!$B$5-G263,"")</f>
        <v>-17</v>
      </c>
      <c r="K263" s="8" t="str">
        <f aca="false">IF(I263&lt;=Setup!$B$9,"Settled",IF(J263&lt;=0,"Not yet due",IF(J263&lt;=30,"1-30 days",IF(J263&lt;=60,"31-60 days",IF(J263&lt;=90,"61-90 days","Over 90 days")))))</f>
        <v>Not yet due</v>
      </c>
    </row>
    <row r="264" customFormat="false" ht="15" hidden="false" customHeight="false" outlineLevel="0" collapsed="false">
      <c r="A264" s="5" t="s">
        <v>381</v>
      </c>
      <c r="B264" s="41" t="n">
        <v>46283</v>
      </c>
      <c r="C264" s="5" t="s">
        <v>102</v>
      </c>
      <c r="D264" s="5" t="s">
        <v>122</v>
      </c>
      <c r="E264" s="43" t="n">
        <v>415834</v>
      </c>
      <c r="F264" s="27" t="str">
        <f aca="false">INDEX(Setup!$B$13:$B$26,MATCH(C264,Setup!$A$13:$A$26,0))</f>
        <v>North</v>
      </c>
      <c r="G264" s="28" t="n">
        <f aca="false">B264+INDEX(Setup!$C$13:$C$26,MATCH(C264,Setup!$A$13:$A$26,0))</f>
        <v>46313</v>
      </c>
      <c r="H264" s="29" t="n">
        <f aca="false">SUMIFS(Collections!$E$6:$E$2000,Collections!$C$6:$C$2000,A264)</f>
        <v>0</v>
      </c>
      <c r="I264" s="44" t="n">
        <f aca="false">E264-H264</f>
        <v>415834</v>
      </c>
      <c r="J264" s="31" t="n">
        <f aca="false">IF(I264&gt;Setup!$B$9,Setup!$B$5-G264,"")</f>
        <v>-18</v>
      </c>
      <c r="K264" s="8" t="str">
        <f aca="false">IF(I264&lt;=Setup!$B$9,"Settled",IF(J264&lt;=0,"Not yet due",IF(J264&lt;=30,"1-30 days",IF(J264&lt;=60,"31-60 days",IF(J264&lt;=90,"61-90 days","Over 90 days")))))</f>
        <v>Not yet due</v>
      </c>
    </row>
    <row r="265" customFormat="false" ht="15" hidden="false" customHeight="false" outlineLevel="0" collapsed="false">
      <c r="A265" s="5" t="s">
        <v>382</v>
      </c>
      <c r="B265" s="41" t="n">
        <v>46283</v>
      </c>
      <c r="C265" s="5" t="s">
        <v>108</v>
      </c>
      <c r="D265" s="5" t="s">
        <v>122</v>
      </c>
      <c r="E265" s="43" t="n">
        <v>314305</v>
      </c>
      <c r="F265" s="27" t="str">
        <f aca="false">INDEX(Setup!$B$13:$B$26,MATCH(C265,Setup!$A$13:$A$26,0))</f>
        <v>South</v>
      </c>
      <c r="G265" s="28" t="n">
        <f aca="false">B265+INDEX(Setup!$C$13:$C$26,MATCH(C265,Setup!$A$13:$A$26,0))</f>
        <v>46313</v>
      </c>
      <c r="H265" s="29" t="n">
        <f aca="false">SUMIFS(Collections!$E$6:$E$2000,Collections!$C$6:$C$2000,A265)</f>
        <v>0</v>
      </c>
      <c r="I265" s="44" t="n">
        <f aca="false">E265-H265</f>
        <v>314305</v>
      </c>
      <c r="J265" s="31" t="n">
        <f aca="false">IF(I265&gt;Setup!$B$9,Setup!$B$5-G265,"")</f>
        <v>-18</v>
      </c>
      <c r="K265" s="8" t="str">
        <f aca="false">IF(I265&lt;=Setup!$B$9,"Settled",IF(J265&lt;=0,"Not yet due",IF(J265&lt;=30,"1-30 days",IF(J265&lt;=60,"31-60 days",IF(J265&lt;=90,"61-90 days","Over 90 days")))))</f>
        <v>Not yet due</v>
      </c>
    </row>
    <row r="266" customFormat="false" ht="15" hidden="false" customHeight="false" outlineLevel="0" collapsed="false">
      <c r="A266" s="5" t="s">
        <v>383</v>
      </c>
      <c r="B266" s="41" t="n">
        <v>46283</v>
      </c>
      <c r="C266" s="5" t="s">
        <v>92</v>
      </c>
      <c r="D266" s="5" t="s">
        <v>122</v>
      </c>
      <c r="E266" s="43" t="n">
        <v>79471</v>
      </c>
      <c r="F266" s="27" t="str">
        <f aca="false">INDEX(Setup!$B$13:$B$26,MATCH(C266,Setup!$A$13:$A$26,0))</f>
        <v>East</v>
      </c>
      <c r="G266" s="28" t="n">
        <f aca="false">B266+INDEX(Setup!$C$13:$C$26,MATCH(C266,Setup!$A$13:$A$26,0))</f>
        <v>46328</v>
      </c>
      <c r="H266" s="29" t="n">
        <f aca="false">SUMIFS(Collections!$E$6:$E$2000,Collections!$C$6:$C$2000,A266)</f>
        <v>0</v>
      </c>
      <c r="I266" s="44" t="n">
        <f aca="false">E266-H266</f>
        <v>79471</v>
      </c>
      <c r="J266" s="31" t="n">
        <f aca="false">IF(I266&gt;Setup!$B$9,Setup!$B$5-G266,"")</f>
        <v>-33</v>
      </c>
      <c r="K266" s="8" t="str">
        <f aca="false">IF(I266&lt;=Setup!$B$9,"Settled",IF(J266&lt;=0,"Not yet due",IF(J266&lt;=30,"1-30 days",IF(J266&lt;=60,"31-60 days",IF(J266&lt;=90,"61-90 days","Over 90 days")))))</f>
        <v>Not yet due</v>
      </c>
    </row>
    <row r="267" customFormat="false" ht="15" hidden="false" customHeight="false" outlineLevel="0" collapsed="false">
      <c r="A267" s="5" t="s">
        <v>384</v>
      </c>
      <c r="B267" s="41" t="n">
        <v>46284</v>
      </c>
      <c r="C267" s="5" t="s">
        <v>94</v>
      </c>
      <c r="D267" s="5" t="s">
        <v>128</v>
      </c>
      <c r="E267" s="43" t="n">
        <v>592501</v>
      </c>
      <c r="F267" s="27" t="str">
        <f aca="false">INDEX(Setup!$B$13:$B$26,MATCH(C267,Setup!$A$13:$A$26,0))</f>
        <v>West</v>
      </c>
      <c r="G267" s="28" t="n">
        <f aca="false">B267+INDEX(Setup!$C$13:$C$26,MATCH(C267,Setup!$A$13:$A$26,0))</f>
        <v>46314</v>
      </c>
      <c r="H267" s="29" t="n">
        <f aca="false">SUMIFS(Collections!$E$6:$E$2000,Collections!$C$6:$C$2000,A267)</f>
        <v>0</v>
      </c>
      <c r="I267" s="44" t="n">
        <f aca="false">E267-H267</f>
        <v>592501</v>
      </c>
      <c r="J267" s="31" t="n">
        <f aca="false">IF(I267&gt;Setup!$B$9,Setup!$B$5-G267,"")</f>
        <v>-19</v>
      </c>
      <c r="K267" s="8" t="str">
        <f aca="false">IF(I267&lt;=Setup!$B$9,"Settled",IF(J267&lt;=0,"Not yet due",IF(J267&lt;=30,"1-30 days",IF(J267&lt;=60,"31-60 days",IF(J267&lt;=90,"61-90 days","Over 90 days")))))</f>
        <v>Not yet due</v>
      </c>
    </row>
    <row r="268" customFormat="false" ht="15" hidden="false" customHeight="false" outlineLevel="0" collapsed="false">
      <c r="A268" s="5" t="s">
        <v>385</v>
      </c>
      <c r="B268" s="41" t="n">
        <v>46284</v>
      </c>
      <c r="C268" s="5" t="s">
        <v>104</v>
      </c>
      <c r="D268" s="5" t="s">
        <v>128</v>
      </c>
      <c r="E268" s="43" t="n">
        <v>181153</v>
      </c>
      <c r="F268" s="27" t="str">
        <f aca="false">INDEX(Setup!$B$13:$B$26,MATCH(C268,Setup!$A$13:$A$26,0))</f>
        <v>North</v>
      </c>
      <c r="G268" s="28" t="n">
        <f aca="false">B268+INDEX(Setup!$C$13:$C$26,MATCH(C268,Setup!$A$13:$A$26,0))</f>
        <v>46329</v>
      </c>
      <c r="H268" s="29" t="n">
        <f aca="false">SUMIFS(Collections!$E$6:$E$2000,Collections!$C$6:$C$2000,A268)</f>
        <v>0</v>
      </c>
      <c r="I268" s="44" t="n">
        <f aca="false">E268-H268</f>
        <v>181153</v>
      </c>
      <c r="J268" s="31" t="n">
        <f aca="false">IF(I268&gt;Setup!$B$9,Setup!$B$5-G268,"")</f>
        <v>-34</v>
      </c>
      <c r="K268" s="8" t="str">
        <f aca="false">IF(I268&lt;=Setup!$B$9,"Settled",IF(J268&lt;=0,"Not yet due",IF(J268&lt;=30,"1-30 days",IF(J268&lt;=60,"31-60 days",IF(J268&lt;=90,"61-90 days","Over 90 days")))))</f>
        <v>Not yet due</v>
      </c>
    </row>
    <row r="269" customFormat="false" ht="15" hidden="false" customHeight="false" outlineLevel="0" collapsed="false">
      <c r="A269" s="5" t="s">
        <v>386</v>
      </c>
      <c r="B269" s="41" t="n">
        <v>46285</v>
      </c>
      <c r="C269" s="5" t="s">
        <v>100</v>
      </c>
      <c r="D269" s="5" t="s">
        <v>133</v>
      </c>
      <c r="E269" s="43" t="n">
        <v>250773</v>
      </c>
      <c r="F269" s="27" t="str">
        <f aca="false">INDEX(Setup!$B$13:$B$26,MATCH(C269,Setup!$A$13:$A$26,0))</f>
        <v>North</v>
      </c>
      <c r="G269" s="28" t="n">
        <f aca="false">B269+INDEX(Setup!$C$13:$C$26,MATCH(C269,Setup!$A$13:$A$26,0))</f>
        <v>46315</v>
      </c>
      <c r="H269" s="29" t="n">
        <f aca="false">SUMIFS(Collections!$E$6:$E$2000,Collections!$C$6:$C$2000,A269)</f>
        <v>0</v>
      </c>
      <c r="I269" s="44" t="n">
        <f aca="false">E269-H269</f>
        <v>250773</v>
      </c>
      <c r="J269" s="31" t="n">
        <f aca="false">IF(I269&gt;Setup!$B$9,Setup!$B$5-G269,"")</f>
        <v>-20</v>
      </c>
      <c r="K269" s="8" t="str">
        <f aca="false">IF(I269&lt;=Setup!$B$9,"Settled",IF(J269&lt;=0,"Not yet due",IF(J269&lt;=30,"1-30 days",IF(J269&lt;=60,"31-60 days",IF(J269&lt;=90,"61-90 days","Over 90 days")))))</f>
        <v>Not yet due</v>
      </c>
    </row>
    <row r="270" customFormat="false" ht="15" hidden="false" customHeight="false" outlineLevel="0" collapsed="false">
      <c r="A270" s="5" t="s">
        <v>387</v>
      </c>
      <c r="B270" s="41" t="n">
        <v>46287</v>
      </c>
      <c r="C270" s="5" t="s">
        <v>100</v>
      </c>
      <c r="D270" s="5" t="s">
        <v>128</v>
      </c>
      <c r="E270" s="43" t="n">
        <v>88869</v>
      </c>
      <c r="F270" s="27" t="str">
        <f aca="false">INDEX(Setup!$B$13:$B$26,MATCH(C270,Setup!$A$13:$A$26,0))</f>
        <v>North</v>
      </c>
      <c r="G270" s="28" t="n">
        <f aca="false">B270+INDEX(Setup!$C$13:$C$26,MATCH(C270,Setup!$A$13:$A$26,0))</f>
        <v>46317</v>
      </c>
      <c r="H270" s="29" t="n">
        <f aca="false">SUMIFS(Collections!$E$6:$E$2000,Collections!$C$6:$C$2000,A270)</f>
        <v>0</v>
      </c>
      <c r="I270" s="44" t="n">
        <f aca="false">E270-H270</f>
        <v>88869</v>
      </c>
      <c r="J270" s="31" t="n">
        <f aca="false">IF(I270&gt;Setup!$B$9,Setup!$B$5-G270,"")</f>
        <v>-22</v>
      </c>
      <c r="K270" s="8" t="str">
        <f aca="false">IF(I270&lt;=Setup!$B$9,"Settled",IF(J270&lt;=0,"Not yet due",IF(J270&lt;=30,"1-30 days",IF(J270&lt;=60,"31-60 days",IF(J270&lt;=90,"61-90 days","Over 90 days")))))</f>
        <v>Not yet due</v>
      </c>
    </row>
    <row r="271" customFormat="false" ht="15" hidden="false" customHeight="false" outlineLevel="0" collapsed="false">
      <c r="A271" s="5" t="s">
        <v>388</v>
      </c>
      <c r="B271" s="41" t="n">
        <v>46287</v>
      </c>
      <c r="C271" s="5" t="s">
        <v>87</v>
      </c>
      <c r="D271" s="5" t="s">
        <v>120</v>
      </c>
      <c r="E271" s="43" t="n">
        <v>217114</v>
      </c>
      <c r="F271" s="27" t="str">
        <f aca="false">INDEX(Setup!$B$13:$B$26,MATCH(C271,Setup!$A$13:$A$26,0))</f>
        <v>East</v>
      </c>
      <c r="G271" s="28" t="n">
        <f aca="false">B271+INDEX(Setup!$C$13:$C$26,MATCH(C271,Setup!$A$13:$A$26,0))</f>
        <v>46317</v>
      </c>
      <c r="H271" s="29" t="n">
        <f aca="false">SUMIFS(Collections!$E$6:$E$2000,Collections!$C$6:$C$2000,A271)</f>
        <v>0</v>
      </c>
      <c r="I271" s="44" t="n">
        <f aca="false">E271-H271</f>
        <v>217114</v>
      </c>
      <c r="J271" s="31" t="n">
        <f aca="false">IF(I271&gt;Setup!$B$9,Setup!$B$5-G271,"")</f>
        <v>-22</v>
      </c>
      <c r="K271" s="8" t="str">
        <f aca="false">IF(I271&lt;=Setup!$B$9,"Settled",IF(J271&lt;=0,"Not yet due",IF(J271&lt;=30,"1-30 days",IF(J271&lt;=60,"31-60 days",IF(J271&lt;=90,"61-90 days","Over 90 days")))))</f>
        <v>Not yet due</v>
      </c>
    </row>
    <row r="272" customFormat="false" ht="15" hidden="false" customHeight="false" outlineLevel="0" collapsed="false">
      <c r="A272" s="5" t="s">
        <v>389</v>
      </c>
      <c r="B272" s="41" t="n">
        <v>46290</v>
      </c>
      <c r="C272" s="5" t="s">
        <v>107</v>
      </c>
      <c r="D272" s="5" t="s">
        <v>128</v>
      </c>
      <c r="E272" s="43" t="n">
        <v>81937</v>
      </c>
      <c r="F272" s="27" t="str">
        <f aca="false">INDEX(Setup!$B$13:$B$26,MATCH(C272,Setup!$A$13:$A$26,0))</f>
        <v>South</v>
      </c>
      <c r="G272" s="28" t="n">
        <f aca="false">B272+INDEX(Setup!$C$13:$C$26,MATCH(C272,Setup!$A$13:$A$26,0))</f>
        <v>46320</v>
      </c>
      <c r="H272" s="29" t="n">
        <f aca="false">SUMIFS(Collections!$E$6:$E$2000,Collections!$C$6:$C$2000,A272)</f>
        <v>0</v>
      </c>
      <c r="I272" s="44" t="n">
        <f aca="false">E272-H272</f>
        <v>81937</v>
      </c>
      <c r="J272" s="31" t="n">
        <f aca="false">IF(I272&gt;Setup!$B$9,Setup!$B$5-G272,"")</f>
        <v>-25</v>
      </c>
      <c r="K272" s="8" t="str">
        <f aca="false">IF(I272&lt;=Setup!$B$9,"Settled",IF(J272&lt;=0,"Not yet due",IF(J272&lt;=30,"1-30 days",IF(J272&lt;=60,"31-60 days",IF(J272&lt;=90,"61-90 days","Over 90 days")))))</f>
        <v>Not yet due</v>
      </c>
    </row>
    <row r="273" customFormat="false" ht="15" hidden="false" customHeight="false" outlineLevel="0" collapsed="false">
      <c r="A273" s="5" t="s">
        <v>390</v>
      </c>
      <c r="B273" s="41" t="n">
        <v>46290</v>
      </c>
      <c r="C273" s="5" t="s">
        <v>107</v>
      </c>
      <c r="D273" s="5" t="s">
        <v>120</v>
      </c>
      <c r="E273" s="43" t="n">
        <v>114986</v>
      </c>
      <c r="F273" s="27" t="str">
        <f aca="false">INDEX(Setup!$B$13:$B$26,MATCH(C273,Setup!$A$13:$A$26,0))</f>
        <v>South</v>
      </c>
      <c r="G273" s="28" t="n">
        <f aca="false">B273+INDEX(Setup!$C$13:$C$26,MATCH(C273,Setup!$A$13:$A$26,0))</f>
        <v>46320</v>
      </c>
      <c r="H273" s="29" t="n">
        <f aca="false">SUMIFS(Collections!$E$6:$E$2000,Collections!$C$6:$C$2000,A273)</f>
        <v>0</v>
      </c>
      <c r="I273" s="44" t="n">
        <f aca="false">E273-H273</f>
        <v>114986</v>
      </c>
      <c r="J273" s="31" t="n">
        <f aca="false">IF(I273&gt;Setup!$B$9,Setup!$B$5-G273,"")</f>
        <v>-25</v>
      </c>
      <c r="K273" s="8" t="str">
        <f aca="false">IF(I273&lt;=Setup!$B$9,"Settled",IF(J273&lt;=0,"Not yet due",IF(J273&lt;=30,"1-30 days",IF(J273&lt;=60,"31-60 days",IF(J273&lt;=90,"61-90 days","Over 90 days")))))</f>
        <v>Not yet due</v>
      </c>
    </row>
    <row r="274" customFormat="false" ht="15" hidden="false" customHeight="false" outlineLevel="0" collapsed="false">
      <c r="A274" s="5" t="s">
        <v>391</v>
      </c>
      <c r="B274" s="41" t="n">
        <v>46291</v>
      </c>
      <c r="C274" s="5" t="s">
        <v>109</v>
      </c>
      <c r="D274" s="5" t="s">
        <v>122</v>
      </c>
      <c r="E274" s="43" t="n">
        <v>246403</v>
      </c>
      <c r="F274" s="27" t="str">
        <f aca="false">INDEX(Setup!$B$13:$B$26,MATCH(C274,Setup!$A$13:$A$26,0))</f>
        <v>South</v>
      </c>
      <c r="G274" s="28" t="n">
        <f aca="false">B274+INDEX(Setup!$C$13:$C$26,MATCH(C274,Setup!$A$13:$A$26,0))</f>
        <v>46336</v>
      </c>
      <c r="H274" s="29" t="n">
        <f aca="false">SUMIFS(Collections!$E$6:$E$2000,Collections!$C$6:$C$2000,A274)</f>
        <v>0</v>
      </c>
      <c r="I274" s="44" t="n">
        <f aca="false">E274-H274</f>
        <v>246403</v>
      </c>
      <c r="J274" s="31" t="n">
        <f aca="false">IF(I274&gt;Setup!$B$9,Setup!$B$5-G274,"")</f>
        <v>-41</v>
      </c>
      <c r="K274" s="8" t="str">
        <f aca="false">IF(I274&lt;=Setup!$B$9,"Settled",IF(J274&lt;=0,"Not yet due",IF(J274&lt;=30,"1-30 days",IF(J274&lt;=60,"31-60 days",IF(J274&lt;=90,"61-90 days","Over 90 days")))))</f>
        <v>Not yet due</v>
      </c>
    </row>
    <row r="275" customFormat="false" ht="15" hidden="false" customHeight="false" outlineLevel="0" collapsed="false">
      <c r="A275" s="5" t="s">
        <v>392</v>
      </c>
      <c r="B275" s="41" t="n">
        <v>46292</v>
      </c>
      <c r="C275" s="5" t="s">
        <v>102</v>
      </c>
      <c r="D275" s="5" t="s">
        <v>122</v>
      </c>
      <c r="E275" s="43" t="n">
        <v>289442</v>
      </c>
      <c r="F275" s="27" t="str">
        <f aca="false">INDEX(Setup!$B$13:$B$26,MATCH(C275,Setup!$A$13:$A$26,0))</f>
        <v>North</v>
      </c>
      <c r="G275" s="28" t="n">
        <f aca="false">B275+INDEX(Setup!$C$13:$C$26,MATCH(C275,Setup!$A$13:$A$26,0))</f>
        <v>46322</v>
      </c>
      <c r="H275" s="29" t="n">
        <f aca="false">SUMIFS(Collections!$E$6:$E$2000,Collections!$C$6:$C$2000,A275)</f>
        <v>0</v>
      </c>
      <c r="I275" s="44" t="n">
        <f aca="false">E275-H275</f>
        <v>289442</v>
      </c>
      <c r="J275" s="31" t="n">
        <f aca="false">IF(I275&gt;Setup!$B$9,Setup!$B$5-G275,"")</f>
        <v>-27</v>
      </c>
      <c r="K275" s="8" t="str">
        <f aca="false">IF(I275&lt;=Setup!$B$9,"Settled",IF(J275&lt;=0,"Not yet due",IF(J275&lt;=30,"1-30 days",IF(J275&lt;=60,"31-60 days",IF(J275&lt;=90,"61-90 days","Over 90 days")))))</f>
        <v>Not yet due</v>
      </c>
    </row>
    <row r="276" customFormat="false" ht="15" hidden="false" customHeight="false" outlineLevel="0" collapsed="false">
      <c r="A276" s="5" t="s">
        <v>393</v>
      </c>
      <c r="B276" s="41" t="n">
        <v>46293</v>
      </c>
      <c r="C276" s="5" t="s">
        <v>102</v>
      </c>
      <c r="D276" s="5" t="s">
        <v>120</v>
      </c>
      <c r="E276" s="43" t="n">
        <v>82572</v>
      </c>
      <c r="F276" s="27" t="str">
        <f aca="false">INDEX(Setup!$B$13:$B$26,MATCH(C276,Setup!$A$13:$A$26,0))</f>
        <v>North</v>
      </c>
      <c r="G276" s="28" t="n">
        <f aca="false">B276+INDEX(Setup!$C$13:$C$26,MATCH(C276,Setup!$A$13:$A$26,0))</f>
        <v>46323</v>
      </c>
      <c r="H276" s="29" t="n">
        <f aca="false">SUMIFS(Collections!$E$6:$E$2000,Collections!$C$6:$C$2000,A276)</f>
        <v>0</v>
      </c>
      <c r="I276" s="44" t="n">
        <f aca="false">E276-H276</f>
        <v>82572</v>
      </c>
      <c r="J276" s="31" t="n">
        <f aca="false">IF(I276&gt;Setup!$B$9,Setup!$B$5-G276,"")</f>
        <v>-28</v>
      </c>
      <c r="K276" s="8" t="str">
        <f aca="false">IF(I276&lt;=Setup!$B$9,"Settled",IF(J276&lt;=0,"Not yet due",IF(J276&lt;=30,"1-30 days",IF(J276&lt;=60,"31-60 days",IF(J276&lt;=90,"61-90 days","Over 90 days")))))</f>
        <v>Not yet due</v>
      </c>
    </row>
    <row r="277" customFormat="false" ht="15" hidden="false" customHeight="false" outlineLevel="0" collapsed="false">
      <c r="A277" s="5" t="s">
        <v>394</v>
      </c>
      <c r="B277" s="41" t="n">
        <v>46293</v>
      </c>
      <c r="C277" s="5" t="s">
        <v>87</v>
      </c>
      <c r="D277" s="5" t="s">
        <v>122</v>
      </c>
      <c r="E277" s="43" t="n">
        <v>124440</v>
      </c>
      <c r="F277" s="27" t="str">
        <f aca="false">INDEX(Setup!$B$13:$B$26,MATCH(C277,Setup!$A$13:$A$26,0))</f>
        <v>East</v>
      </c>
      <c r="G277" s="28" t="n">
        <f aca="false">B277+INDEX(Setup!$C$13:$C$26,MATCH(C277,Setup!$A$13:$A$26,0))</f>
        <v>46323</v>
      </c>
      <c r="H277" s="29" t="n">
        <f aca="false">SUMIFS(Collections!$E$6:$E$2000,Collections!$C$6:$C$2000,A277)</f>
        <v>0</v>
      </c>
      <c r="I277" s="44" t="n">
        <f aca="false">E277-H277</f>
        <v>124440</v>
      </c>
      <c r="J277" s="31" t="n">
        <f aca="false">IF(I277&gt;Setup!$B$9,Setup!$B$5-G277,"")</f>
        <v>-28</v>
      </c>
      <c r="K277" s="8" t="str">
        <f aca="false">IF(I277&lt;=Setup!$B$9,"Settled",IF(J277&lt;=0,"Not yet due",IF(J277&lt;=30,"1-30 days",IF(J277&lt;=60,"31-60 days",IF(J277&lt;=90,"61-90 days","Over 90 days")))))</f>
        <v>Not yet due</v>
      </c>
    </row>
    <row r="278" customFormat="false" ht="15" hidden="false" customHeight="false" outlineLevel="0" collapsed="false">
      <c r="A278" s="5" t="s">
        <v>395</v>
      </c>
      <c r="B278" s="41" t="n">
        <v>46294</v>
      </c>
      <c r="C278" s="5" t="s">
        <v>105</v>
      </c>
      <c r="D278" s="5" t="s">
        <v>120</v>
      </c>
      <c r="E278" s="43" t="n">
        <v>391447</v>
      </c>
      <c r="F278" s="27" t="str">
        <f aca="false">INDEX(Setup!$B$13:$B$26,MATCH(C278,Setup!$A$13:$A$26,0))</f>
        <v>South</v>
      </c>
      <c r="G278" s="28" t="n">
        <f aca="false">B278+INDEX(Setup!$C$13:$C$26,MATCH(C278,Setup!$A$13:$A$26,0))</f>
        <v>46324</v>
      </c>
      <c r="H278" s="29" t="n">
        <f aca="false">SUMIFS(Collections!$E$6:$E$2000,Collections!$C$6:$C$2000,A278)</f>
        <v>0</v>
      </c>
      <c r="I278" s="44" t="n">
        <f aca="false">E278-H278</f>
        <v>391447</v>
      </c>
      <c r="J278" s="31" t="n">
        <f aca="false">IF(I278&gt;Setup!$B$9,Setup!$B$5-G278,"")</f>
        <v>-29</v>
      </c>
      <c r="K278" s="8" t="str">
        <f aca="false">IF(I278&lt;=Setup!$B$9,"Settled",IF(J278&lt;=0,"Not yet due",IF(J278&lt;=30,"1-30 days",IF(J278&lt;=60,"31-60 days",IF(J278&lt;=90,"61-90 days","Over 90 days")))))</f>
        <v>Not yet due</v>
      </c>
    </row>
    <row r="279" customFormat="false" ht="15" hidden="false" customHeight="false" outlineLevel="0" collapsed="false">
      <c r="A279" s="5" t="s">
        <v>396</v>
      </c>
      <c r="B279" s="41" t="n">
        <v>46294</v>
      </c>
      <c r="C279" s="5" t="s">
        <v>100</v>
      </c>
      <c r="D279" s="5" t="s">
        <v>128</v>
      </c>
      <c r="E279" s="43" t="n">
        <v>393347</v>
      </c>
      <c r="F279" s="27" t="str">
        <f aca="false">INDEX(Setup!$B$13:$B$26,MATCH(C279,Setup!$A$13:$A$26,0))</f>
        <v>North</v>
      </c>
      <c r="G279" s="28" t="n">
        <f aca="false">B279+INDEX(Setup!$C$13:$C$26,MATCH(C279,Setup!$A$13:$A$26,0))</f>
        <v>46324</v>
      </c>
      <c r="H279" s="29" t="n">
        <f aca="false">SUMIFS(Collections!$E$6:$E$2000,Collections!$C$6:$C$2000,A279)</f>
        <v>0</v>
      </c>
      <c r="I279" s="44" t="n">
        <f aca="false">E279-H279</f>
        <v>393347</v>
      </c>
      <c r="J279" s="31" t="n">
        <f aca="false">IF(I279&gt;Setup!$B$9,Setup!$B$5-G279,"")</f>
        <v>-29</v>
      </c>
      <c r="K279" s="8" t="str">
        <f aca="false">IF(I279&lt;=Setup!$B$9,"Settled",IF(J279&lt;=0,"Not yet due",IF(J279&lt;=30,"1-30 days",IF(J279&lt;=60,"31-60 days",IF(J279&lt;=90,"61-90 days","Over 90 days")))))</f>
        <v>Not yet due</v>
      </c>
    </row>
    <row r="280" customFormat="false" ht="15" hidden="false" customHeight="false" outlineLevel="0" collapsed="false">
      <c r="A280" s="5" t="s">
        <v>397</v>
      </c>
      <c r="B280" s="41" t="n">
        <v>46294</v>
      </c>
      <c r="C280" s="5" t="s">
        <v>100</v>
      </c>
      <c r="D280" s="5" t="s">
        <v>122</v>
      </c>
      <c r="E280" s="43" t="n">
        <v>518008</v>
      </c>
      <c r="F280" s="27" t="str">
        <f aca="false">INDEX(Setup!$B$13:$B$26,MATCH(C280,Setup!$A$13:$A$26,0))</f>
        <v>North</v>
      </c>
      <c r="G280" s="28" t="n">
        <f aca="false">B280+INDEX(Setup!$C$13:$C$26,MATCH(C280,Setup!$A$13:$A$26,0))</f>
        <v>46324</v>
      </c>
      <c r="H280" s="29" t="n">
        <f aca="false">SUMIFS(Collections!$E$6:$E$2000,Collections!$C$6:$C$2000,A280)</f>
        <v>0</v>
      </c>
      <c r="I280" s="44" t="n">
        <f aca="false">E280-H280</f>
        <v>518008</v>
      </c>
      <c r="J280" s="31" t="n">
        <f aca="false">IF(I280&gt;Setup!$B$9,Setup!$B$5-G280,"")</f>
        <v>-29</v>
      </c>
      <c r="K280" s="8" t="str">
        <f aca="false">IF(I280&lt;=Setup!$B$9,"Settled",IF(J280&lt;=0,"Not yet due",IF(J280&lt;=30,"1-30 days",IF(J280&lt;=60,"31-60 days",IF(J280&lt;=90,"61-90 days","Over 90 days")))))</f>
        <v>Not yet due</v>
      </c>
    </row>
    <row r="281" customFormat="false" ht="15" hidden="false" customHeight="false" outlineLevel="0" collapsed="false">
      <c r="A281" s="5" t="s">
        <v>398</v>
      </c>
      <c r="B281" s="41" t="n">
        <v>46294</v>
      </c>
      <c r="C281" s="5" t="s">
        <v>99</v>
      </c>
      <c r="D281" s="5" t="s">
        <v>133</v>
      </c>
      <c r="E281" s="43" t="n">
        <v>325047</v>
      </c>
      <c r="F281" s="27" t="str">
        <f aca="false">INDEX(Setup!$B$13:$B$26,MATCH(C281,Setup!$A$13:$A$26,0))</f>
        <v>West</v>
      </c>
      <c r="G281" s="28" t="n">
        <f aca="false">B281+INDEX(Setup!$C$13:$C$26,MATCH(C281,Setup!$A$13:$A$26,0))</f>
        <v>46339</v>
      </c>
      <c r="H281" s="29" t="n">
        <f aca="false">SUMIFS(Collections!$E$6:$E$2000,Collections!$C$6:$C$2000,A281)</f>
        <v>0</v>
      </c>
      <c r="I281" s="44" t="n">
        <f aca="false">E281-H281</f>
        <v>325047</v>
      </c>
      <c r="J281" s="31" t="n">
        <f aca="false">IF(I281&gt;Setup!$B$9,Setup!$B$5-G281,"")</f>
        <v>-44</v>
      </c>
      <c r="K281" s="8" t="str">
        <f aca="false">IF(I281&lt;=Setup!$B$9,"Settled",IF(J281&lt;=0,"Not yet due",IF(J281&lt;=30,"1-30 days",IF(J281&lt;=60,"31-60 days",IF(J281&lt;=90,"61-90 days","Over 90 days")))))</f>
        <v>Not yet due</v>
      </c>
    </row>
    <row r="282" customFormat="false" ht="15" hidden="false" customHeight="false" outlineLevel="0" collapsed="false">
      <c r="A282" s="5" t="s">
        <v>399</v>
      </c>
      <c r="B282" s="41" t="n">
        <v>46295</v>
      </c>
      <c r="C282" s="5" t="s">
        <v>107</v>
      </c>
      <c r="D282" s="5" t="s">
        <v>122</v>
      </c>
      <c r="E282" s="43" t="n">
        <v>283385</v>
      </c>
      <c r="F282" s="27" t="str">
        <f aca="false">INDEX(Setup!$B$13:$B$26,MATCH(C282,Setup!$A$13:$A$26,0))</f>
        <v>South</v>
      </c>
      <c r="G282" s="28" t="n">
        <f aca="false">B282+INDEX(Setup!$C$13:$C$26,MATCH(C282,Setup!$A$13:$A$26,0))</f>
        <v>46325</v>
      </c>
      <c r="H282" s="29" t="n">
        <f aca="false">SUMIFS(Collections!$E$6:$E$2000,Collections!$C$6:$C$2000,A282)</f>
        <v>0</v>
      </c>
      <c r="I282" s="44" t="n">
        <f aca="false">E282-H282</f>
        <v>283385</v>
      </c>
      <c r="J282" s="31" t="n">
        <f aca="false">IF(I282&gt;Setup!$B$9,Setup!$B$5-G282,"")</f>
        <v>-30</v>
      </c>
      <c r="K282" s="8" t="str">
        <f aca="false">IF(I282&lt;=Setup!$B$9,"Settled",IF(J282&lt;=0,"Not yet due",IF(J282&lt;=30,"1-30 days",IF(J282&lt;=60,"31-60 days",IF(J282&lt;=90,"61-90 days","Over 90 days")))))</f>
        <v>Not yet due</v>
      </c>
    </row>
    <row r="283" customFormat="false" ht="15" hidden="false" customHeight="false" outlineLevel="0" collapsed="false">
      <c r="A283" s="5" t="s">
        <v>400</v>
      </c>
      <c r="B283" s="41" t="n">
        <v>46295</v>
      </c>
      <c r="C283" s="5" t="s">
        <v>92</v>
      </c>
      <c r="D283" s="5" t="s">
        <v>133</v>
      </c>
      <c r="E283" s="43" t="n">
        <v>340034</v>
      </c>
      <c r="F283" s="27" t="str">
        <f aca="false">INDEX(Setup!$B$13:$B$26,MATCH(C283,Setup!$A$13:$A$26,0))</f>
        <v>East</v>
      </c>
      <c r="G283" s="28" t="n">
        <f aca="false">B283+INDEX(Setup!$C$13:$C$26,MATCH(C283,Setup!$A$13:$A$26,0))</f>
        <v>46340</v>
      </c>
      <c r="H283" s="29" t="n">
        <f aca="false">SUMIFS(Collections!$E$6:$E$2000,Collections!$C$6:$C$2000,A283)</f>
        <v>0</v>
      </c>
      <c r="I283" s="44" t="n">
        <f aca="false">E283-H283</f>
        <v>340034</v>
      </c>
      <c r="J283" s="31" t="n">
        <f aca="false">IF(I283&gt;Setup!$B$9,Setup!$B$5-G283,"")</f>
        <v>-45</v>
      </c>
      <c r="K283" s="8" t="str">
        <f aca="false">IF(I283&lt;=Setup!$B$9,"Settled",IF(J283&lt;=0,"Not yet due",IF(J283&lt;=30,"1-30 days",IF(J283&lt;=60,"31-60 days",IF(J283&lt;=90,"61-90 days","Over 90 days")))))</f>
        <v>Not yet due</v>
      </c>
    </row>
    <row r="284" customFormat="false" ht="15" hidden="false" customHeight="false" outlineLevel="0" collapsed="false">
      <c r="A284" s="5" t="s">
        <v>401</v>
      </c>
      <c r="B284" s="41" t="n">
        <v>46295</v>
      </c>
      <c r="C284" s="5" t="s">
        <v>104</v>
      </c>
      <c r="D284" s="5" t="s">
        <v>128</v>
      </c>
      <c r="E284" s="43" t="n">
        <v>248802</v>
      </c>
      <c r="F284" s="27" t="str">
        <f aca="false">INDEX(Setup!$B$13:$B$26,MATCH(C284,Setup!$A$13:$A$26,0))</f>
        <v>North</v>
      </c>
      <c r="G284" s="28" t="n">
        <f aca="false">B284+INDEX(Setup!$C$13:$C$26,MATCH(C284,Setup!$A$13:$A$26,0))</f>
        <v>46340</v>
      </c>
      <c r="H284" s="29" t="n">
        <f aca="false">SUMIFS(Collections!$E$6:$E$2000,Collections!$C$6:$C$2000,A284)</f>
        <v>0</v>
      </c>
      <c r="I284" s="44" t="n">
        <f aca="false">E284-H284</f>
        <v>248802</v>
      </c>
      <c r="J284" s="31" t="n">
        <f aca="false">IF(I284&gt;Setup!$B$9,Setup!$B$5-G284,"")</f>
        <v>-45</v>
      </c>
      <c r="K284" s="8" t="str">
        <f aca="false">IF(I284&lt;=Setup!$B$9,"Settled",IF(J284&lt;=0,"Not yet due",IF(J284&lt;=30,"1-30 days",IF(J284&lt;=60,"31-60 days",IF(J284&lt;=90,"61-90 days","Over 90 days")))))</f>
        <v>Not yet due</v>
      </c>
    </row>
    <row r="285" customFormat="false" ht="15" hidden="false" customHeight="false" outlineLevel="0" collapsed="false">
      <c r="A285" s="5" t="s">
        <v>402</v>
      </c>
      <c r="B285" s="41" t="n">
        <v>46295</v>
      </c>
      <c r="C285" s="5" t="s">
        <v>108</v>
      </c>
      <c r="D285" s="5" t="s">
        <v>133</v>
      </c>
      <c r="E285" s="43" t="n">
        <v>405665</v>
      </c>
      <c r="F285" s="27" t="str">
        <f aca="false">INDEX(Setup!$B$13:$B$26,MATCH(C285,Setup!$A$13:$A$26,0))</f>
        <v>South</v>
      </c>
      <c r="G285" s="28" t="n">
        <f aca="false">B285+INDEX(Setup!$C$13:$C$26,MATCH(C285,Setup!$A$13:$A$26,0))</f>
        <v>46325</v>
      </c>
      <c r="H285" s="29" t="n">
        <f aca="false">SUMIFS(Collections!$E$6:$E$2000,Collections!$C$6:$C$2000,A285)</f>
        <v>0</v>
      </c>
      <c r="I285" s="44" t="n">
        <f aca="false">E285-H285</f>
        <v>405665</v>
      </c>
      <c r="J285" s="31" t="n">
        <f aca="false">IF(I285&gt;Setup!$B$9,Setup!$B$5-G285,"")</f>
        <v>-30</v>
      </c>
      <c r="K285" s="8" t="str">
        <f aca="false">IF(I285&lt;=Setup!$B$9,"Settled",IF(J285&lt;=0,"Not yet due",IF(J285&lt;=30,"1-30 days",IF(J285&lt;=60,"31-60 days",IF(J285&lt;=90,"61-90 days","Over 90 days")))))</f>
        <v>Not yet due</v>
      </c>
    </row>
  </sheetData>
  <autoFilter ref="A5:K285"/>
  <conditionalFormatting sqref="K6:K285">
    <cfRule type="expression" priority="2" aboveAverage="0" equalAverage="0" bottom="0" percent="0" rank="0" text="" dxfId="8">
      <formula>K6="Over 90 days"</formula>
    </cfRule>
    <cfRule type="expression" priority="3" aboveAverage="0" equalAverage="0" bottom="0" percent="0" rank="0" text="" dxfId="9">
      <formula>OR(K6="61-90 days",K6="31-60 days")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2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7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5" t="s">
        <v>403</v>
      </c>
    </row>
    <row r="2" customFormat="false" ht="15" hidden="false" customHeight="false" outlineLevel="0" collapsed="false">
      <c r="A2" s="16" t="s">
        <v>404</v>
      </c>
    </row>
    <row r="5" customFormat="false" ht="30" hidden="false" customHeight="true" outlineLevel="0" collapsed="false">
      <c r="A5" s="6" t="s">
        <v>405</v>
      </c>
      <c r="B5" s="6" t="s">
        <v>5</v>
      </c>
      <c r="C5" s="6" t="s">
        <v>112</v>
      </c>
      <c r="D5" s="6" t="s">
        <v>69</v>
      </c>
      <c r="E5" s="6" t="s">
        <v>114</v>
      </c>
      <c r="F5" s="6" t="s">
        <v>406</v>
      </c>
      <c r="G5" s="6" t="s">
        <v>407</v>
      </c>
      <c r="H5" s="6" t="s">
        <v>408</v>
      </c>
    </row>
    <row r="6" customFormat="false" ht="15" hidden="false" customHeight="false" outlineLevel="0" collapsed="false">
      <c r="A6" s="5" t="s">
        <v>409</v>
      </c>
      <c r="B6" s="41" t="n">
        <v>46121</v>
      </c>
      <c r="C6" s="5" t="s">
        <v>131</v>
      </c>
      <c r="D6" s="27" t="str">
        <f aca="false">INDEX(Sales_Ledger!$C$6:$C$285,MATCH(C6,Sales_Ledger!$A$6:$A$285,0))</f>
        <v>Krishna Distributors, Hyderabad</v>
      </c>
      <c r="E6" s="43" t="n">
        <v>448606</v>
      </c>
      <c r="F6" s="5" t="s">
        <v>410</v>
      </c>
      <c r="G6" s="5" t="s">
        <v>411</v>
      </c>
      <c r="H6" s="28" t="n">
        <f aca="false">INDEX(Sales_Ledger!$B$6:$B$285,MATCH(C6,Sales_Ledger!$A$6:$A$285,0))</f>
        <v>46085</v>
      </c>
    </row>
    <row r="7" customFormat="false" ht="15" hidden="false" customHeight="false" outlineLevel="0" collapsed="false">
      <c r="A7" s="5" t="s">
        <v>412</v>
      </c>
      <c r="B7" s="41" t="n">
        <v>46122</v>
      </c>
      <c r="C7" s="5" t="s">
        <v>124</v>
      </c>
      <c r="D7" s="27" t="str">
        <f aca="false">INDEX(Sales_Ledger!$C$6:$C$285,MATCH(C7,Sales_Ledger!$A$6:$A$285,0))</f>
        <v>Hooghly Foods, Kolkata</v>
      </c>
      <c r="E7" s="43" t="n">
        <v>210447</v>
      </c>
      <c r="F7" s="5" t="s">
        <v>413</v>
      </c>
      <c r="G7" s="5" t="s">
        <v>414</v>
      </c>
      <c r="H7" s="28" t="n">
        <f aca="false">INDEX(Sales_Ledger!$B$6:$B$285,MATCH(C7,Sales_Ledger!$A$6:$A$285,0))</f>
        <v>46083</v>
      </c>
    </row>
    <row r="8" customFormat="false" ht="15" hidden="false" customHeight="false" outlineLevel="0" collapsed="false">
      <c r="A8" s="5" t="s">
        <v>415</v>
      </c>
      <c r="B8" s="41" t="n">
        <v>46123</v>
      </c>
      <c r="C8" s="5" t="s">
        <v>129</v>
      </c>
      <c r="D8" s="27" t="str">
        <f aca="false">INDEX(Sales_Ledger!$C$6:$C$285,MATCH(C8,Sales_Ledger!$A$6:$A$285,0))</f>
        <v>Hooghly Foods, Kolkata</v>
      </c>
      <c r="E8" s="43" t="n">
        <v>273061</v>
      </c>
      <c r="F8" s="5" t="s">
        <v>413</v>
      </c>
      <c r="G8" s="5" t="s">
        <v>416</v>
      </c>
      <c r="H8" s="28" t="n">
        <f aca="false">INDEX(Sales_Ledger!$B$6:$B$285,MATCH(C8,Sales_Ledger!$A$6:$A$285,0))</f>
        <v>46084</v>
      </c>
    </row>
    <row r="9" customFormat="false" ht="15" hidden="false" customHeight="false" outlineLevel="0" collapsed="false">
      <c r="A9" s="5" t="s">
        <v>417</v>
      </c>
      <c r="B9" s="41" t="n">
        <v>46123</v>
      </c>
      <c r="C9" s="5" t="s">
        <v>130</v>
      </c>
      <c r="D9" s="27" t="str">
        <f aca="false">INDEX(Sales_Ledger!$C$6:$C$285,MATCH(C9,Sales_Ledger!$A$6:$A$285,0))</f>
        <v>Konkan Distributors, Mumbai</v>
      </c>
      <c r="E9" s="43" t="n">
        <v>534180</v>
      </c>
      <c r="F9" s="5" t="s">
        <v>418</v>
      </c>
      <c r="G9" s="5" t="s">
        <v>419</v>
      </c>
      <c r="H9" s="28" t="n">
        <f aca="false">INDEX(Sales_Ledger!$B$6:$B$285,MATCH(C9,Sales_Ledger!$A$6:$A$285,0))</f>
        <v>46085</v>
      </c>
    </row>
    <row r="10" customFormat="false" ht="15" hidden="false" customHeight="false" outlineLevel="0" collapsed="false">
      <c r="A10" s="5" t="s">
        <v>420</v>
      </c>
      <c r="B10" s="41" t="n">
        <v>46124</v>
      </c>
      <c r="C10" s="5" t="s">
        <v>123</v>
      </c>
      <c r="D10" s="27" t="str">
        <f aca="false">INDEX(Sales_Ledger!$C$6:$C$285,MATCH(C10,Sales_Ledger!$A$6:$A$285,0))</f>
        <v>Hooghly Foods, Kolkata</v>
      </c>
      <c r="E10" s="43" t="n">
        <v>324643</v>
      </c>
      <c r="F10" s="5" t="s">
        <v>413</v>
      </c>
      <c r="G10" s="5" t="s">
        <v>421</v>
      </c>
      <c r="H10" s="28" t="n">
        <f aca="false">INDEX(Sales_Ledger!$B$6:$B$285,MATCH(C10,Sales_Ledger!$A$6:$A$285,0))</f>
        <v>46082</v>
      </c>
    </row>
    <row r="11" customFormat="false" ht="15" hidden="false" customHeight="false" outlineLevel="0" collapsed="false">
      <c r="A11" s="5" t="s">
        <v>422</v>
      </c>
      <c r="B11" s="41" t="n">
        <v>46124</v>
      </c>
      <c r="C11" s="5" t="s">
        <v>138</v>
      </c>
      <c r="D11" s="27" t="str">
        <f aca="false">INDEX(Sales_Ledger!$C$6:$C$285,MATCH(C11,Sales_Ledger!$A$6:$A$285,0))</f>
        <v>Brahmaputra Traders, Guwahati</v>
      </c>
      <c r="E11" s="43" t="n">
        <v>71313</v>
      </c>
      <c r="F11" s="5" t="s">
        <v>410</v>
      </c>
      <c r="G11" s="5" t="s">
        <v>423</v>
      </c>
      <c r="H11" s="28" t="n">
        <f aca="false">INDEX(Sales_Ledger!$B$6:$B$285,MATCH(C11,Sales_Ledger!$A$6:$A$285,0))</f>
        <v>46088</v>
      </c>
    </row>
    <row r="12" customFormat="false" ht="15" hidden="false" customHeight="false" outlineLevel="0" collapsed="false">
      <c r="A12" s="5" t="s">
        <v>424</v>
      </c>
      <c r="B12" s="41" t="n">
        <v>46125</v>
      </c>
      <c r="C12" s="5" t="s">
        <v>134</v>
      </c>
      <c r="D12" s="27" t="str">
        <f aca="false">INDEX(Sales_Ledger!$C$6:$C$285,MATCH(C12,Sales_Ledger!$A$6:$A$285,0))</f>
        <v>Hooghly Foods, Kolkata</v>
      </c>
      <c r="E12" s="43" t="n">
        <v>345881</v>
      </c>
      <c r="F12" s="5" t="s">
        <v>413</v>
      </c>
      <c r="G12" s="5" t="s">
        <v>425</v>
      </c>
      <c r="H12" s="28" t="n">
        <f aca="false">INDEX(Sales_Ledger!$B$6:$B$285,MATCH(C12,Sales_Ledger!$A$6:$A$285,0))</f>
        <v>46086</v>
      </c>
    </row>
    <row r="13" customFormat="false" ht="15" hidden="false" customHeight="false" outlineLevel="0" collapsed="false">
      <c r="A13" s="5" t="s">
        <v>426</v>
      </c>
      <c r="B13" s="41" t="n">
        <v>46126</v>
      </c>
      <c r="C13" s="5" t="s">
        <v>135</v>
      </c>
      <c r="D13" s="27" t="str">
        <f aca="false">INDEX(Sales_Ledger!$C$6:$C$285,MATCH(C13,Sales_Ledger!$A$6:$A$285,0))</f>
        <v>Brahmaputra Traders, Guwahati</v>
      </c>
      <c r="E13" s="43" t="n">
        <v>302522</v>
      </c>
      <c r="F13" s="5" t="s">
        <v>413</v>
      </c>
      <c r="G13" s="5" t="s">
        <v>427</v>
      </c>
      <c r="H13" s="28" t="n">
        <f aca="false">INDEX(Sales_Ledger!$B$6:$B$285,MATCH(C13,Sales_Ledger!$A$6:$A$285,0))</f>
        <v>46086</v>
      </c>
    </row>
    <row r="14" customFormat="false" ht="15" hidden="false" customHeight="false" outlineLevel="0" collapsed="false">
      <c r="A14" s="5" t="s">
        <v>428</v>
      </c>
      <c r="B14" s="41" t="n">
        <v>46128</v>
      </c>
      <c r="C14" s="5" t="s">
        <v>139</v>
      </c>
      <c r="D14" s="27" t="str">
        <f aca="false">INDEX(Sales_Ledger!$C$6:$C$285,MATCH(C14,Sales_Ledger!$A$6:$A$285,0))</f>
        <v>Doon Distributors, Dehradun</v>
      </c>
      <c r="E14" s="43" t="n">
        <v>160355</v>
      </c>
      <c r="F14" s="5" t="s">
        <v>410</v>
      </c>
      <c r="G14" s="5" t="s">
        <v>429</v>
      </c>
      <c r="H14" s="28" t="n">
        <f aca="false">INDEX(Sales_Ledger!$B$6:$B$285,MATCH(C14,Sales_Ledger!$A$6:$A$285,0))</f>
        <v>46089</v>
      </c>
    </row>
    <row r="15" customFormat="false" ht="15" hidden="false" customHeight="false" outlineLevel="0" collapsed="false">
      <c r="A15" s="5" t="s">
        <v>430</v>
      </c>
      <c r="B15" s="41" t="n">
        <v>46130</v>
      </c>
      <c r="C15" s="5" t="s">
        <v>119</v>
      </c>
      <c r="D15" s="27" t="str">
        <f aca="false">INDEX(Sales_Ledger!$C$6:$C$285,MATCH(C15,Sales_Ledger!$A$6:$A$285,0))</f>
        <v>Hooghly Foods, Kolkata</v>
      </c>
      <c r="E15" s="43" t="n">
        <v>366402</v>
      </c>
      <c r="F15" s="5" t="s">
        <v>410</v>
      </c>
      <c r="G15" s="5" t="s">
        <v>431</v>
      </c>
      <c r="H15" s="28" t="n">
        <f aca="false">INDEX(Sales_Ledger!$B$6:$B$285,MATCH(C15,Sales_Ledger!$A$6:$A$285,0))</f>
        <v>46082</v>
      </c>
    </row>
    <row r="16" customFormat="false" ht="15" hidden="false" customHeight="false" outlineLevel="0" collapsed="false">
      <c r="A16" s="5" t="s">
        <v>432</v>
      </c>
      <c r="B16" s="41" t="n">
        <v>46130</v>
      </c>
      <c r="C16" s="5" t="s">
        <v>136</v>
      </c>
      <c r="D16" s="27" t="str">
        <f aca="false">INDEX(Sales_Ledger!$C$6:$C$285,MATCH(C16,Sales_Ledger!$A$6:$A$285,0))</f>
        <v>Krishna Distributors, Hyderabad</v>
      </c>
      <c r="E16" s="43" t="n">
        <v>166080</v>
      </c>
      <c r="F16" s="5" t="s">
        <v>418</v>
      </c>
      <c r="G16" s="5" t="s">
        <v>433</v>
      </c>
      <c r="H16" s="28" t="n">
        <f aca="false">INDEX(Sales_Ledger!$B$6:$B$285,MATCH(C16,Sales_Ledger!$A$6:$A$285,0))</f>
        <v>46088</v>
      </c>
    </row>
    <row r="17" customFormat="false" ht="15" hidden="false" customHeight="false" outlineLevel="0" collapsed="false">
      <c r="A17" s="5" t="s">
        <v>434</v>
      </c>
      <c r="B17" s="41" t="n">
        <v>46131</v>
      </c>
      <c r="C17" s="5" t="s">
        <v>127</v>
      </c>
      <c r="D17" s="27" t="str">
        <f aca="false">INDEX(Sales_Ledger!$C$6:$C$285,MATCH(C17,Sales_Ledger!$A$6:$A$285,0))</f>
        <v>Coromandel Traders, Chennai</v>
      </c>
      <c r="E17" s="43" t="n">
        <v>51198</v>
      </c>
      <c r="F17" s="5" t="s">
        <v>418</v>
      </c>
      <c r="G17" s="5" t="s">
        <v>435</v>
      </c>
      <c r="H17" s="28" t="n">
        <f aca="false">INDEX(Sales_Ledger!$B$6:$B$285,MATCH(C17,Sales_Ledger!$A$6:$A$285,0))</f>
        <v>46084</v>
      </c>
    </row>
    <row r="18" customFormat="false" ht="15" hidden="false" customHeight="false" outlineLevel="0" collapsed="false">
      <c r="A18" s="5" t="s">
        <v>436</v>
      </c>
      <c r="B18" s="41" t="n">
        <v>46132</v>
      </c>
      <c r="C18" s="5" t="s">
        <v>132</v>
      </c>
      <c r="D18" s="27" t="str">
        <f aca="false">INDEX(Sales_Ledger!$C$6:$C$285,MATCH(C18,Sales_Ledger!$A$6:$A$285,0))</f>
        <v>Satluj Foods, Ludhiana</v>
      </c>
      <c r="E18" s="43" t="n">
        <v>116836</v>
      </c>
      <c r="F18" s="5" t="s">
        <v>410</v>
      </c>
      <c r="G18" s="5" t="s">
        <v>437</v>
      </c>
      <c r="H18" s="28" t="n">
        <f aca="false">INDEX(Sales_Ledger!$B$6:$B$285,MATCH(C18,Sales_Ledger!$A$6:$A$285,0))</f>
        <v>46086</v>
      </c>
    </row>
    <row r="19" customFormat="false" ht="15" hidden="false" customHeight="false" outlineLevel="0" collapsed="false">
      <c r="A19" s="5" t="s">
        <v>438</v>
      </c>
      <c r="B19" s="41" t="n">
        <v>46133</v>
      </c>
      <c r="C19" s="5" t="s">
        <v>124</v>
      </c>
      <c r="D19" s="27" t="str">
        <f aca="false">INDEX(Sales_Ledger!$C$6:$C$285,MATCH(C19,Sales_Ledger!$A$6:$A$285,0))</f>
        <v>Hooghly Foods, Kolkata</v>
      </c>
      <c r="E19" s="43" t="n">
        <v>190560</v>
      </c>
      <c r="F19" s="5" t="s">
        <v>410</v>
      </c>
      <c r="G19" s="5" t="s">
        <v>439</v>
      </c>
      <c r="H19" s="28" t="n">
        <f aca="false">INDEX(Sales_Ledger!$B$6:$B$285,MATCH(C19,Sales_Ledger!$A$6:$A$285,0))</f>
        <v>46083</v>
      </c>
    </row>
    <row r="20" customFormat="false" ht="15" hidden="false" customHeight="false" outlineLevel="0" collapsed="false">
      <c r="A20" s="5" t="s">
        <v>440</v>
      </c>
      <c r="B20" s="41" t="n">
        <v>46134</v>
      </c>
      <c r="C20" s="5" t="s">
        <v>125</v>
      </c>
      <c r="D20" s="27" t="str">
        <f aca="false">INDEX(Sales_Ledger!$C$6:$C$285,MATCH(C20,Sales_Ledger!$A$6:$A$285,0))</f>
        <v>Coromandel Traders, Chennai</v>
      </c>
      <c r="E20" s="43" t="n">
        <v>214074</v>
      </c>
      <c r="F20" s="5" t="s">
        <v>418</v>
      </c>
      <c r="G20" s="5" t="s">
        <v>441</v>
      </c>
      <c r="H20" s="28" t="n">
        <f aca="false">INDEX(Sales_Ledger!$B$6:$B$285,MATCH(C20,Sales_Ledger!$A$6:$A$285,0))</f>
        <v>46084</v>
      </c>
    </row>
    <row r="21" customFormat="false" ht="15" hidden="false" customHeight="false" outlineLevel="0" collapsed="false">
      <c r="A21" s="5" t="s">
        <v>442</v>
      </c>
      <c r="B21" s="41" t="n">
        <v>46135</v>
      </c>
      <c r="C21" s="5" t="s">
        <v>148</v>
      </c>
      <c r="D21" s="27" t="str">
        <f aca="false">INDEX(Sales_Ledger!$C$6:$C$285,MATCH(C21,Sales_Ledger!$A$6:$A$285,0))</f>
        <v>Satluj Foods, Ludhiana</v>
      </c>
      <c r="E21" s="43" t="n">
        <v>274315</v>
      </c>
      <c r="F21" s="5" t="s">
        <v>413</v>
      </c>
      <c r="G21" s="5" t="s">
        <v>443</v>
      </c>
      <c r="H21" s="28" t="n">
        <f aca="false">INDEX(Sales_Ledger!$B$6:$B$285,MATCH(C21,Sales_Ledger!$A$6:$A$285,0))</f>
        <v>46099</v>
      </c>
    </row>
    <row r="22" customFormat="false" ht="15" hidden="false" customHeight="false" outlineLevel="0" collapsed="false">
      <c r="A22" s="5" t="s">
        <v>444</v>
      </c>
      <c r="B22" s="41" t="n">
        <v>46136</v>
      </c>
      <c r="C22" s="5" t="s">
        <v>144</v>
      </c>
      <c r="D22" s="27" t="str">
        <f aca="false">INDEX(Sales_Ledger!$C$6:$C$285,MATCH(C22,Sales_Ledger!$A$6:$A$285,0))</f>
        <v>Satluj Foods, Ludhiana</v>
      </c>
      <c r="E22" s="43" t="n">
        <v>100844</v>
      </c>
      <c r="F22" s="5" t="s">
        <v>410</v>
      </c>
      <c r="G22" s="5" t="s">
        <v>445</v>
      </c>
      <c r="H22" s="28" t="n">
        <f aca="false">INDEX(Sales_Ledger!$B$6:$B$285,MATCH(C22,Sales_Ledger!$A$6:$A$285,0))</f>
        <v>46094</v>
      </c>
    </row>
    <row r="23" customFormat="false" ht="15" hidden="false" customHeight="false" outlineLevel="0" collapsed="false">
      <c r="A23" s="5" t="s">
        <v>446</v>
      </c>
      <c r="B23" s="41" t="n">
        <v>46138</v>
      </c>
      <c r="C23" s="5" t="s">
        <v>141</v>
      </c>
      <c r="D23" s="27" t="str">
        <f aca="false">INDEX(Sales_Ledger!$C$6:$C$285,MATCH(C23,Sales_Ledger!$A$6:$A$285,0))</f>
        <v>Satluj Foods, Ludhiana</v>
      </c>
      <c r="E23" s="43" t="n">
        <v>283842</v>
      </c>
      <c r="F23" s="5" t="s">
        <v>410</v>
      </c>
      <c r="G23" s="5" t="s">
        <v>447</v>
      </c>
      <c r="H23" s="28" t="n">
        <f aca="false">INDEX(Sales_Ledger!$B$6:$B$285,MATCH(C23,Sales_Ledger!$A$6:$A$285,0))</f>
        <v>46091</v>
      </c>
    </row>
    <row r="24" customFormat="false" ht="15" hidden="false" customHeight="false" outlineLevel="0" collapsed="false">
      <c r="A24" s="5" t="s">
        <v>448</v>
      </c>
      <c r="B24" s="41" t="n">
        <v>46139</v>
      </c>
      <c r="C24" s="5" t="s">
        <v>150</v>
      </c>
      <c r="D24" s="27" t="str">
        <f aca="false">INDEX(Sales_Ledger!$C$6:$C$285,MATCH(C24,Sales_Ledger!$A$6:$A$285,0))</f>
        <v>Satluj Foods, Ludhiana</v>
      </c>
      <c r="E24" s="43" t="n">
        <v>403095</v>
      </c>
      <c r="F24" s="5" t="s">
        <v>413</v>
      </c>
      <c r="G24" s="5" t="s">
        <v>449</v>
      </c>
      <c r="H24" s="28" t="n">
        <f aca="false">INDEX(Sales_Ledger!$B$6:$B$285,MATCH(C24,Sales_Ledger!$A$6:$A$285,0))</f>
        <v>46101</v>
      </c>
    </row>
    <row r="25" customFormat="false" ht="15" hidden="false" customHeight="false" outlineLevel="0" collapsed="false">
      <c r="A25" s="5" t="s">
        <v>450</v>
      </c>
      <c r="B25" s="41" t="n">
        <v>46139</v>
      </c>
      <c r="C25" s="5" t="s">
        <v>152</v>
      </c>
      <c r="D25" s="27" t="str">
        <f aca="false">INDEX(Sales_Ledger!$C$6:$C$285,MATCH(C25,Sales_Ledger!$A$6:$A$285,0))</f>
        <v>Satluj Foods, Ludhiana</v>
      </c>
      <c r="E25" s="43" t="n">
        <v>242300</v>
      </c>
      <c r="F25" s="5" t="s">
        <v>413</v>
      </c>
      <c r="G25" s="5" t="s">
        <v>451</v>
      </c>
      <c r="H25" s="28" t="n">
        <f aca="false">INDEX(Sales_Ledger!$B$6:$B$285,MATCH(C25,Sales_Ledger!$A$6:$A$285,0))</f>
        <v>46101</v>
      </c>
    </row>
    <row r="26" customFormat="false" ht="15" hidden="false" customHeight="false" outlineLevel="0" collapsed="false">
      <c r="A26" s="5" t="s">
        <v>452</v>
      </c>
      <c r="B26" s="41" t="n">
        <v>46139</v>
      </c>
      <c r="C26" s="5" t="s">
        <v>153</v>
      </c>
      <c r="D26" s="27" t="str">
        <f aca="false">INDEX(Sales_Ledger!$C$6:$C$285,MATCH(C26,Sales_Ledger!$A$6:$A$285,0))</f>
        <v>Brahmaputra Traders, Guwahati</v>
      </c>
      <c r="E26" s="43" t="n">
        <v>126314</v>
      </c>
      <c r="F26" s="5" t="s">
        <v>418</v>
      </c>
      <c r="G26" s="5" t="s">
        <v>453</v>
      </c>
      <c r="H26" s="28" t="n">
        <f aca="false">INDEX(Sales_Ledger!$B$6:$B$285,MATCH(C26,Sales_Ledger!$A$6:$A$285,0))</f>
        <v>46102</v>
      </c>
    </row>
    <row r="27" customFormat="false" ht="15" hidden="false" customHeight="false" outlineLevel="0" collapsed="false">
      <c r="A27" s="5" t="s">
        <v>454</v>
      </c>
      <c r="B27" s="41" t="n">
        <v>46141</v>
      </c>
      <c r="C27" s="5" t="s">
        <v>146</v>
      </c>
      <c r="D27" s="27" t="str">
        <f aca="false">INDEX(Sales_Ledger!$C$6:$C$285,MATCH(C27,Sales_Ledger!$A$6:$A$285,0))</f>
        <v>Brahmaputra Traders, Guwahati</v>
      </c>
      <c r="E27" s="43" t="n">
        <v>90454</v>
      </c>
      <c r="F27" s="5" t="s">
        <v>410</v>
      </c>
      <c r="G27" s="5" t="s">
        <v>455</v>
      </c>
      <c r="H27" s="28" t="n">
        <f aca="false">INDEX(Sales_Ledger!$B$6:$B$285,MATCH(C27,Sales_Ledger!$A$6:$A$285,0))</f>
        <v>46098</v>
      </c>
    </row>
    <row r="28" customFormat="false" ht="15" hidden="false" customHeight="false" outlineLevel="0" collapsed="false">
      <c r="A28" s="5" t="s">
        <v>456</v>
      </c>
      <c r="B28" s="41" t="n">
        <v>46141</v>
      </c>
      <c r="C28" s="5" t="s">
        <v>157</v>
      </c>
      <c r="D28" s="27" t="str">
        <f aca="false">INDEX(Sales_Ledger!$C$6:$C$285,MATCH(C28,Sales_Ledger!$A$6:$A$285,0))</f>
        <v>Satluj Foods, Ludhiana</v>
      </c>
      <c r="E28" s="43" t="n">
        <v>287689</v>
      </c>
      <c r="F28" s="5" t="s">
        <v>410</v>
      </c>
      <c r="G28" s="5" t="s">
        <v>457</v>
      </c>
      <c r="H28" s="28" t="n">
        <f aca="false">INDEX(Sales_Ledger!$B$6:$B$285,MATCH(C28,Sales_Ledger!$A$6:$A$285,0))</f>
        <v>46105</v>
      </c>
    </row>
    <row r="29" customFormat="false" ht="15" hidden="false" customHeight="false" outlineLevel="0" collapsed="false">
      <c r="A29" s="5" t="s">
        <v>458</v>
      </c>
      <c r="B29" s="41" t="n">
        <v>46142</v>
      </c>
      <c r="C29" s="5" t="s">
        <v>159</v>
      </c>
      <c r="D29" s="27" t="str">
        <f aca="false">INDEX(Sales_Ledger!$C$6:$C$285,MATCH(C29,Sales_Ledger!$A$6:$A$285,0))</f>
        <v>Hooghly Foods, Kolkata</v>
      </c>
      <c r="E29" s="43" t="n">
        <v>294234</v>
      </c>
      <c r="F29" s="5" t="s">
        <v>410</v>
      </c>
      <c r="G29" s="5" t="s">
        <v>459</v>
      </c>
      <c r="H29" s="28" t="n">
        <f aca="false">INDEX(Sales_Ledger!$B$6:$B$285,MATCH(C29,Sales_Ledger!$A$6:$A$285,0))</f>
        <v>46108</v>
      </c>
    </row>
    <row r="30" customFormat="false" ht="15" hidden="false" customHeight="false" outlineLevel="0" collapsed="false">
      <c r="A30" s="5" t="s">
        <v>460</v>
      </c>
      <c r="B30" s="41" t="n">
        <v>46143</v>
      </c>
      <c r="C30" s="5" t="s">
        <v>161</v>
      </c>
      <c r="D30" s="27" t="str">
        <f aca="false">INDEX(Sales_Ledger!$C$6:$C$285,MATCH(C30,Sales_Ledger!$A$6:$A$285,0))</f>
        <v>Narmada Foods, Surat</v>
      </c>
      <c r="E30" s="43" t="n">
        <v>179903</v>
      </c>
      <c r="F30" s="5" t="s">
        <v>410</v>
      </c>
      <c r="G30" s="5" t="s">
        <v>461</v>
      </c>
      <c r="H30" s="28" t="n">
        <f aca="false">INDEX(Sales_Ledger!$B$6:$B$285,MATCH(C30,Sales_Ledger!$A$6:$A$285,0))</f>
        <v>46109</v>
      </c>
    </row>
    <row r="31" customFormat="false" ht="15" hidden="false" customHeight="false" outlineLevel="0" collapsed="false">
      <c r="A31" s="5" t="s">
        <v>462</v>
      </c>
      <c r="B31" s="41" t="n">
        <v>46145</v>
      </c>
      <c r="C31" s="5" t="s">
        <v>160</v>
      </c>
      <c r="D31" s="27" t="str">
        <f aca="false">INDEX(Sales_Ledger!$C$6:$C$285,MATCH(C31,Sales_Ledger!$A$6:$A$285,0))</f>
        <v>Narmada Foods, Surat</v>
      </c>
      <c r="E31" s="43" t="n">
        <v>149133</v>
      </c>
      <c r="F31" s="5" t="s">
        <v>418</v>
      </c>
      <c r="G31" s="5" t="s">
        <v>463</v>
      </c>
      <c r="H31" s="28" t="n">
        <f aca="false">INDEX(Sales_Ledger!$B$6:$B$285,MATCH(C31,Sales_Ledger!$A$6:$A$285,0))</f>
        <v>46108</v>
      </c>
    </row>
    <row r="32" customFormat="false" ht="15" hidden="false" customHeight="false" outlineLevel="0" collapsed="false">
      <c r="A32" s="5" t="s">
        <v>464</v>
      </c>
      <c r="B32" s="41" t="n">
        <v>46145</v>
      </c>
      <c r="C32" s="5" t="s">
        <v>165</v>
      </c>
      <c r="D32" s="27" t="str">
        <f aca="false">INDEX(Sales_Ledger!$C$6:$C$285,MATCH(C32,Sales_Ledger!$A$6:$A$285,0))</f>
        <v>Cauvery Foods, Bengaluru</v>
      </c>
      <c r="E32" s="43" t="n">
        <v>119088</v>
      </c>
      <c r="F32" s="5" t="s">
        <v>410</v>
      </c>
      <c r="G32" s="5" t="s">
        <v>465</v>
      </c>
      <c r="H32" s="28" t="n">
        <f aca="false">INDEX(Sales_Ledger!$B$6:$B$285,MATCH(C32,Sales_Ledger!$A$6:$A$285,0))</f>
        <v>46114</v>
      </c>
    </row>
    <row r="33" customFormat="false" ht="15" hidden="false" customHeight="false" outlineLevel="0" collapsed="false">
      <c r="A33" s="5" t="s">
        <v>466</v>
      </c>
      <c r="B33" s="41" t="n">
        <v>46146</v>
      </c>
      <c r="C33" s="5" t="s">
        <v>155</v>
      </c>
      <c r="D33" s="27" t="str">
        <f aca="false">INDEX(Sales_Ledger!$C$6:$C$285,MATCH(C33,Sales_Ledger!$A$6:$A$285,0))</f>
        <v>Brahmaputra Traders, Guwahati</v>
      </c>
      <c r="E33" s="43" t="n">
        <v>289772</v>
      </c>
      <c r="F33" s="5" t="s">
        <v>418</v>
      </c>
      <c r="G33" s="5" t="s">
        <v>467</v>
      </c>
      <c r="H33" s="28" t="n">
        <f aca="false">INDEX(Sales_Ledger!$B$6:$B$285,MATCH(C33,Sales_Ledger!$A$6:$A$285,0))</f>
        <v>46104</v>
      </c>
    </row>
    <row r="34" customFormat="false" ht="15" hidden="false" customHeight="false" outlineLevel="0" collapsed="false">
      <c r="A34" s="5" t="s">
        <v>468</v>
      </c>
      <c r="B34" s="41" t="n">
        <v>46147</v>
      </c>
      <c r="C34" s="5" t="s">
        <v>137</v>
      </c>
      <c r="D34" s="27" t="str">
        <f aca="false">INDEX(Sales_Ledger!$C$6:$C$285,MATCH(C34,Sales_Ledger!$A$6:$A$285,0))</f>
        <v>Magadh Agencies, Patna</v>
      </c>
      <c r="E34" s="43" t="n">
        <v>310750</v>
      </c>
      <c r="F34" s="5" t="s">
        <v>413</v>
      </c>
      <c r="G34" s="5" t="s">
        <v>469</v>
      </c>
      <c r="H34" s="28" t="n">
        <f aca="false">INDEX(Sales_Ledger!$B$6:$B$285,MATCH(C34,Sales_Ledger!$A$6:$A$285,0))</f>
        <v>46088</v>
      </c>
    </row>
    <row r="35" customFormat="false" ht="15" hidden="false" customHeight="false" outlineLevel="0" collapsed="false">
      <c r="A35" s="5" t="s">
        <v>470</v>
      </c>
      <c r="B35" s="41" t="n">
        <v>46147</v>
      </c>
      <c r="C35" s="5" t="s">
        <v>145</v>
      </c>
      <c r="D35" s="27" t="str">
        <f aca="false">INDEX(Sales_Ledger!$C$6:$C$285,MATCH(C35,Sales_Ledger!$A$6:$A$285,0))</f>
        <v>Brahmaputra Traders, Guwahati</v>
      </c>
      <c r="E35" s="43" t="n">
        <v>149207</v>
      </c>
      <c r="F35" s="5" t="s">
        <v>410</v>
      </c>
      <c r="G35" s="5" t="s">
        <v>471</v>
      </c>
      <c r="H35" s="28" t="n">
        <f aca="false">INDEX(Sales_Ledger!$B$6:$B$285,MATCH(C35,Sales_Ledger!$A$6:$A$285,0))</f>
        <v>46098</v>
      </c>
    </row>
    <row r="36" customFormat="false" ht="15" hidden="false" customHeight="false" outlineLevel="0" collapsed="false">
      <c r="A36" s="5" t="s">
        <v>472</v>
      </c>
      <c r="B36" s="41" t="n">
        <v>46151</v>
      </c>
      <c r="C36" s="5" t="s">
        <v>127</v>
      </c>
      <c r="D36" s="27" t="str">
        <f aca="false">INDEX(Sales_Ledger!$C$6:$C$285,MATCH(C36,Sales_Ledger!$A$6:$A$285,0))</f>
        <v>Coromandel Traders, Chennai</v>
      </c>
      <c r="E36" s="43" t="n">
        <v>24347</v>
      </c>
      <c r="F36" s="5" t="s">
        <v>410</v>
      </c>
      <c r="G36" s="5" t="s">
        <v>473</v>
      </c>
      <c r="H36" s="28" t="n">
        <f aca="false">INDEX(Sales_Ledger!$B$6:$B$285,MATCH(C36,Sales_Ledger!$A$6:$A$285,0))</f>
        <v>46084</v>
      </c>
    </row>
    <row r="37" customFormat="false" ht="15" hidden="false" customHeight="false" outlineLevel="0" collapsed="false">
      <c r="A37" s="5" t="s">
        <v>474</v>
      </c>
      <c r="B37" s="41" t="n">
        <v>46152</v>
      </c>
      <c r="C37" s="5" t="s">
        <v>167</v>
      </c>
      <c r="D37" s="27" t="str">
        <f aca="false">INDEX(Sales_Ledger!$C$6:$C$285,MATCH(C37,Sales_Ledger!$A$6:$A$285,0))</f>
        <v>Narmada Foods, Surat</v>
      </c>
      <c r="E37" s="43" t="n">
        <v>333354</v>
      </c>
      <c r="F37" s="5" t="s">
        <v>413</v>
      </c>
      <c r="G37" s="5" t="s">
        <v>475</v>
      </c>
      <c r="H37" s="28" t="n">
        <f aca="false">INDEX(Sales_Ledger!$B$6:$B$285,MATCH(C37,Sales_Ledger!$A$6:$A$285,0))</f>
        <v>46117</v>
      </c>
    </row>
    <row r="38" customFormat="false" ht="15" hidden="false" customHeight="false" outlineLevel="0" collapsed="false">
      <c r="A38" s="5" t="s">
        <v>476</v>
      </c>
      <c r="B38" s="41" t="n">
        <v>46153</v>
      </c>
      <c r="C38" s="5" t="s">
        <v>156</v>
      </c>
      <c r="D38" s="27" t="str">
        <f aca="false">INDEX(Sales_Ledger!$C$6:$C$285,MATCH(C38,Sales_Ledger!$A$6:$A$285,0))</f>
        <v>Doon Distributors, Dehradun</v>
      </c>
      <c r="E38" s="43" t="n">
        <v>270089</v>
      </c>
      <c r="F38" s="5" t="s">
        <v>413</v>
      </c>
      <c r="G38" s="5" t="s">
        <v>477</v>
      </c>
      <c r="H38" s="28" t="n">
        <f aca="false">INDEX(Sales_Ledger!$B$6:$B$285,MATCH(C38,Sales_Ledger!$A$6:$A$285,0))</f>
        <v>46104</v>
      </c>
    </row>
    <row r="39" customFormat="false" ht="15" hidden="false" customHeight="false" outlineLevel="0" collapsed="false">
      <c r="A39" s="5" t="s">
        <v>478</v>
      </c>
      <c r="B39" s="41" t="n">
        <v>46153</v>
      </c>
      <c r="C39" s="5" t="s">
        <v>168</v>
      </c>
      <c r="D39" s="27" t="str">
        <f aca="false">INDEX(Sales_Ledger!$C$6:$C$285,MATCH(C39,Sales_Ledger!$A$6:$A$285,0))</f>
        <v>Cauvery Foods, Bengaluru</v>
      </c>
      <c r="E39" s="43" t="n">
        <v>502205</v>
      </c>
      <c r="F39" s="5" t="s">
        <v>410</v>
      </c>
      <c r="G39" s="5" t="s">
        <v>479</v>
      </c>
      <c r="H39" s="28" t="n">
        <f aca="false">INDEX(Sales_Ledger!$B$6:$B$285,MATCH(C39,Sales_Ledger!$A$6:$A$285,0))</f>
        <v>46118</v>
      </c>
    </row>
    <row r="40" customFormat="false" ht="15" hidden="false" customHeight="false" outlineLevel="0" collapsed="false">
      <c r="A40" s="5" t="s">
        <v>480</v>
      </c>
      <c r="B40" s="41" t="n">
        <v>46154</v>
      </c>
      <c r="C40" s="5" t="s">
        <v>162</v>
      </c>
      <c r="D40" s="27" t="str">
        <f aca="false">INDEX(Sales_Ledger!$C$6:$C$285,MATCH(C40,Sales_Ledger!$A$6:$A$285,0))</f>
        <v>Hooghly Foods, Kolkata</v>
      </c>
      <c r="E40" s="43" t="n">
        <v>363662</v>
      </c>
      <c r="F40" s="5" t="s">
        <v>410</v>
      </c>
      <c r="G40" s="5" t="s">
        <v>481</v>
      </c>
      <c r="H40" s="28" t="n">
        <f aca="false">INDEX(Sales_Ledger!$B$6:$B$285,MATCH(C40,Sales_Ledger!$A$6:$A$285,0))</f>
        <v>46111</v>
      </c>
    </row>
    <row r="41" customFormat="false" ht="15" hidden="false" customHeight="false" outlineLevel="0" collapsed="false">
      <c r="A41" s="5" t="s">
        <v>482</v>
      </c>
      <c r="B41" s="41" t="n">
        <v>46155</v>
      </c>
      <c r="C41" s="5" t="s">
        <v>121</v>
      </c>
      <c r="D41" s="27" t="str">
        <f aca="false">INDEX(Sales_Ledger!$C$6:$C$285,MATCH(C41,Sales_Ledger!$A$6:$A$285,0))</f>
        <v>Magadh Agencies, Patna</v>
      </c>
      <c r="E41" s="43" t="n">
        <v>107216</v>
      </c>
      <c r="F41" s="5" t="s">
        <v>418</v>
      </c>
      <c r="G41" s="5" t="s">
        <v>483</v>
      </c>
      <c r="H41" s="28" t="n">
        <f aca="false">INDEX(Sales_Ledger!$B$6:$B$285,MATCH(C41,Sales_Ledger!$A$6:$A$285,0))</f>
        <v>46082</v>
      </c>
    </row>
    <row r="42" customFormat="false" ht="15" hidden="false" customHeight="false" outlineLevel="0" collapsed="false">
      <c r="A42" s="5" t="s">
        <v>484</v>
      </c>
      <c r="B42" s="41" t="n">
        <v>46156</v>
      </c>
      <c r="C42" s="5" t="s">
        <v>158</v>
      </c>
      <c r="D42" s="27" t="str">
        <f aca="false">INDEX(Sales_Ledger!$C$6:$C$285,MATCH(C42,Sales_Ledger!$A$6:$A$285,0))</f>
        <v>Brahmaputra Traders, Guwahati</v>
      </c>
      <c r="E42" s="43" t="n">
        <v>73108</v>
      </c>
      <c r="F42" s="5" t="s">
        <v>410</v>
      </c>
      <c r="G42" s="5" t="s">
        <v>485</v>
      </c>
      <c r="H42" s="28" t="n">
        <f aca="false">INDEX(Sales_Ledger!$B$6:$B$285,MATCH(C42,Sales_Ledger!$A$6:$A$285,0))</f>
        <v>46106</v>
      </c>
    </row>
    <row r="43" customFormat="false" ht="15" hidden="false" customHeight="false" outlineLevel="0" collapsed="false">
      <c r="A43" s="5" t="s">
        <v>486</v>
      </c>
      <c r="B43" s="41" t="n">
        <v>46157</v>
      </c>
      <c r="C43" s="5" t="s">
        <v>132</v>
      </c>
      <c r="D43" s="27" t="str">
        <f aca="false">INDEX(Sales_Ledger!$C$6:$C$285,MATCH(C43,Sales_Ledger!$A$6:$A$285,0))</f>
        <v>Satluj Foods, Ludhiana</v>
      </c>
      <c r="E43" s="43" t="n">
        <v>88115</v>
      </c>
      <c r="F43" s="5" t="s">
        <v>418</v>
      </c>
      <c r="G43" s="5" t="s">
        <v>487</v>
      </c>
      <c r="H43" s="28" t="n">
        <f aca="false">INDEX(Sales_Ledger!$B$6:$B$285,MATCH(C43,Sales_Ledger!$A$6:$A$285,0))</f>
        <v>46086</v>
      </c>
    </row>
    <row r="44" customFormat="false" ht="15" hidden="false" customHeight="false" outlineLevel="0" collapsed="false">
      <c r="A44" s="5" t="s">
        <v>488</v>
      </c>
      <c r="B44" s="41" t="n">
        <v>46157</v>
      </c>
      <c r="C44" s="5" t="s">
        <v>163</v>
      </c>
      <c r="D44" s="27" t="str">
        <f aca="false">INDEX(Sales_Ledger!$C$6:$C$285,MATCH(C44,Sales_Ledger!$A$6:$A$285,0))</f>
        <v>Coromandel Traders, Chennai</v>
      </c>
      <c r="E44" s="43" t="n">
        <v>438704</v>
      </c>
      <c r="F44" s="5" t="s">
        <v>418</v>
      </c>
      <c r="G44" s="5" t="s">
        <v>489</v>
      </c>
      <c r="H44" s="28" t="n">
        <f aca="false">INDEX(Sales_Ledger!$B$6:$B$285,MATCH(C44,Sales_Ledger!$A$6:$A$285,0))</f>
        <v>46114</v>
      </c>
    </row>
    <row r="45" customFormat="false" ht="15" hidden="false" customHeight="false" outlineLevel="0" collapsed="false">
      <c r="A45" s="5" t="s">
        <v>490</v>
      </c>
      <c r="B45" s="41" t="n">
        <v>46157</v>
      </c>
      <c r="C45" s="5" t="s">
        <v>164</v>
      </c>
      <c r="D45" s="27" t="str">
        <f aca="false">INDEX(Sales_Ledger!$C$6:$C$285,MATCH(C45,Sales_Ledger!$A$6:$A$285,0))</f>
        <v>Yamuna Traders, Delhi</v>
      </c>
      <c r="E45" s="43" t="n">
        <v>51930</v>
      </c>
      <c r="F45" s="5" t="s">
        <v>410</v>
      </c>
      <c r="G45" s="5" t="s">
        <v>491</v>
      </c>
      <c r="H45" s="28" t="n">
        <f aca="false">INDEX(Sales_Ledger!$B$6:$B$285,MATCH(C45,Sales_Ledger!$A$6:$A$285,0))</f>
        <v>46114</v>
      </c>
    </row>
    <row r="46" customFormat="false" ht="15" hidden="false" customHeight="false" outlineLevel="0" collapsed="false">
      <c r="A46" s="5" t="s">
        <v>492</v>
      </c>
      <c r="B46" s="41" t="n">
        <v>46157</v>
      </c>
      <c r="C46" s="5" t="s">
        <v>179</v>
      </c>
      <c r="D46" s="27" t="str">
        <f aca="false">INDEX(Sales_Ledger!$C$6:$C$285,MATCH(C46,Sales_Ledger!$A$6:$A$285,0))</f>
        <v>Cauvery Foods, Bengaluru</v>
      </c>
      <c r="E46" s="43" t="n">
        <v>63474</v>
      </c>
      <c r="F46" s="5" t="s">
        <v>418</v>
      </c>
      <c r="G46" s="5" t="s">
        <v>493</v>
      </c>
      <c r="H46" s="28" t="n">
        <f aca="false">INDEX(Sales_Ledger!$B$6:$B$285,MATCH(C46,Sales_Ledger!$A$6:$A$285,0))</f>
        <v>46126</v>
      </c>
    </row>
    <row r="47" customFormat="false" ht="15" hidden="false" customHeight="false" outlineLevel="0" collapsed="false">
      <c r="A47" s="5" t="s">
        <v>494</v>
      </c>
      <c r="B47" s="41" t="n">
        <v>46159</v>
      </c>
      <c r="C47" s="5" t="s">
        <v>178</v>
      </c>
      <c r="D47" s="27" t="str">
        <f aca="false">INDEX(Sales_Ledger!$C$6:$C$285,MATCH(C47,Sales_Ledger!$A$6:$A$285,0))</f>
        <v>Yamuna Traders, Delhi</v>
      </c>
      <c r="E47" s="43" t="n">
        <v>557656</v>
      </c>
      <c r="F47" s="5" t="s">
        <v>413</v>
      </c>
      <c r="G47" s="5" t="s">
        <v>495</v>
      </c>
      <c r="H47" s="28" t="n">
        <f aca="false">INDEX(Sales_Ledger!$B$6:$B$285,MATCH(C47,Sales_Ledger!$A$6:$A$285,0))</f>
        <v>46125</v>
      </c>
    </row>
    <row r="48" customFormat="false" ht="15" hidden="false" customHeight="false" outlineLevel="0" collapsed="false">
      <c r="A48" s="5" t="s">
        <v>496</v>
      </c>
      <c r="B48" s="41" t="n">
        <v>46161</v>
      </c>
      <c r="C48" s="5" t="s">
        <v>175</v>
      </c>
      <c r="D48" s="27" t="str">
        <f aca="false">INDEX(Sales_Ledger!$C$6:$C$285,MATCH(C48,Sales_Ledger!$A$6:$A$285,0))</f>
        <v>Krishna Distributors, Hyderabad</v>
      </c>
      <c r="E48" s="43" t="n">
        <v>177297</v>
      </c>
      <c r="F48" s="5" t="s">
        <v>418</v>
      </c>
      <c r="G48" s="5" t="s">
        <v>497</v>
      </c>
      <c r="H48" s="28" t="n">
        <f aca="false">INDEX(Sales_Ledger!$B$6:$B$285,MATCH(C48,Sales_Ledger!$A$6:$A$285,0))</f>
        <v>46124</v>
      </c>
    </row>
    <row r="49" customFormat="false" ht="15" hidden="false" customHeight="false" outlineLevel="0" collapsed="false">
      <c r="A49" s="5" t="s">
        <v>498</v>
      </c>
      <c r="B49" s="41" t="n">
        <v>46163</v>
      </c>
      <c r="C49" s="5" t="s">
        <v>143</v>
      </c>
      <c r="D49" s="27" t="str">
        <f aca="false">INDEX(Sales_Ledger!$C$6:$C$285,MATCH(C49,Sales_Ledger!$A$6:$A$285,0))</f>
        <v>Periyar Agencies, Kochi</v>
      </c>
      <c r="E49" s="43" t="n">
        <v>290814</v>
      </c>
      <c r="F49" s="5" t="s">
        <v>418</v>
      </c>
      <c r="G49" s="5" t="s">
        <v>499</v>
      </c>
      <c r="H49" s="28" t="n">
        <f aca="false">INDEX(Sales_Ledger!$B$6:$B$285,MATCH(C49,Sales_Ledger!$A$6:$A$285,0))</f>
        <v>46094</v>
      </c>
    </row>
    <row r="50" customFormat="false" ht="15" hidden="false" customHeight="false" outlineLevel="0" collapsed="false">
      <c r="A50" s="5" t="s">
        <v>500</v>
      </c>
      <c r="B50" s="41" t="n">
        <v>46163</v>
      </c>
      <c r="C50" s="5" t="s">
        <v>176</v>
      </c>
      <c r="D50" s="27" t="str">
        <f aca="false">INDEX(Sales_Ledger!$C$6:$C$285,MATCH(C50,Sales_Ledger!$A$6:$A$285,0))</f>
        <v>Konkan Distributors, Mumbai</v>
      </c>
      <c r="E50" s="43" t="n">
        <v>361682</v>
      </c>
      <c r="F50" s="5" t="s">
        <v>410</v>
      </c>
      <c r="G50" s="5" t="s">
        <v>501</v>
      </c>
      <c r="H50" s="28" t="n">
        <f aca="false">INDEX(Sales_Ledger!$B$6:$B$285,MATCH(C50,Sales_Ledger!$A$6:$A$285,0))</f>
        <v>46124</v>
      </c>
    </row>
    <row r="51" customFormat="false" ht="15" hidden="false" customHeight="false" outlineLevel="0" collapsed="false">
      <c r="A51" s="5" t="s">
        <v>502</v>
      </c>
      <c r="B51" s="41" t="n">
        <v>46163</v>
      </c>
      <c r="C51" s="5" t="s">
        <v>177</v>
      </c>
      <c r="D51" s="27" t="str">
        <f aca="false">INDEX(Sales_Ledger!$C$6:$C$285,MATCH(C51,Sales_Ledger!$A$6:$A$285,0))</f>
        <v>Brahmaputra Traders, Guwahati</v>
      </c>
      <c r="E51" s="43" t="n">
        <v>321987</v>
      </c>
      <c r="F51" s="5" t="s">
        <v>418</v>
      </c>
      <c r="G51" s="5" t="s">
        <v>503</v>
      </c>
      <c r="H51" s="28" t="n">
        <f aca="false">INDEX(Sales_Ledger!$B$6:$B$285,MATCH(C51,Sales_Ledger!$A$6:$A$285,0))</f>
        <v>46125</v>
      </c>
    </row>
    <row r="52" customFormat="false" ht="15" hidden="false" customHeight="false" outlineLevel="0" collapsed="false">
      <c r="A52" s="5" t="s">
        <v>504</v>
      </c>
      <c r="B52" s="41" t="n">
        <v>46164</v>
      </c>
      <c r="C52" s="5" t="s">
        <v>191</v>
      </c>
      <c r="D52" s="27" t="str">
        <f aca="false">INDEX(Sales_Ledger!$C$6:$C$285,MATCH(C52,Sales_Ledger!$A$6:$A$285,0))</f>
        <v>Cauvery Foods, Bengaluru</v>
      </c>
      <c r="E52" s="43" t="n">
        <v>232774</v>
      </c>
      <c r="F52" s="5" t="s">
        <v>410</v>
      </c>
      <c r="G52" s="5" t="s">
        <v>505</v>
      </c>
      <c r="H52" s="28" t="n">
        <f aca="false">INDEX(Sales_Ledger!$B$6:$B$285,MATCH(C52,Sales_Ledger!$A$6:$A$285,0))</f>
        <v>46133</v>
      </c>
    </row>
    <row r="53" customFormat="false" ht="15" hidden="false" customHeight="false" outlineLevel="0" collapsed="false">
      <c r="A53" s="5" t="s">
        <v>506</v>
      </c>
      <c r="B53" s="41" t="n">
        <v>46165</v>
      </c>
      <c r="C53" s="5" t="s">
        <v>142</v>
      </c>
      <c r="D53" s="27" t="str">
        <f aca="false">INDEX(Sales_Ledger!$C$6:$C$285,MATCH(C53,Sales_Ledger!$A$6:$A$285,0))</f>
        <v>Periyar Agencies, Kochi</v>
      </c>
      <c r="E53" s="43" t="n">
        <v>85123</v>
      </c>
      <c r="F53" s="5" t="s">
        <v>410</v>
      </c>
      <c r="G53" s="5" t="s">
        <v>507</v>
      </c>
      <c r="H53" s="28" t="n">
        <f aca="false">INDEX(Sales_Ledger!$B$6:$B$285,MATCH(C53,Sales_Ledger!$A$6:$A$285,0))</f>
        <v>46092</v>
      </c>
    </row>
    <row r="54" customFormat="false" ht="15" hidden="false" customHeight="false" outlineLevel="0" collapsed="false">
      <c r="A54" s="5" t="s">
        <v>508</v>
      </c>
      <c r="B54" s="41" t="n">
        <v>46166</v>
      </c>
      <c r="C54" s="5" t="s">
        <v>183</v>
      </c>
      <c r="D54" s="27" t="str">
        <f aca="false">INDEX(Sales_Ledger!$C$6:$C$285,MATCH(C54,Sales_Ledger!$A$6:$A$285,0))</f>
        <v>Satluj Foods, Ludhiana</v>
      </c>
      <c r="E54" s="43" t="n">
        <v>260378</v>
      </c>
      <c r="F54" s="5" t="s">
        <v>413</v>
      </c>
      <c r="G54" s="5" t="s">
        <v>509</v>
      </c>
      <c r="H54" s="28" t="n">
        <f aca="false">INDEX(Sales_Ledger!$B$6:$B$285,MATCH(C54,Sales_Ledger!$A$6:$A$285,0))</f>
        <v>46130</v>
      </c>
    </row>
    <row r="55" customFormat="false" ht="15" hidden="false" customHeight="false" outlineLevel="0" collapsed="false">
      <c r="A55" s="5" t="s">
        <v>510</v>
      </c>
      <c r="B55" s="41" t="n">
        <v>46167</v>
      </c>
      <c r="C55" s="5" t="s">
        <v>147</v>
      </c>
      <c r="D55" s="27" t="str">
        <f aca="false">INDEX(Sales_Ledger!$C$6:$C$285,MATCH(C55,Sales_Ledger!$A$6:$A$285,0))</f>
        <v>Periyar Agencies, Kochi</v>
      </c>
      <c r="E55" s="43" t="n">
        <v>115204</v>
      </c>
      <c r="F55" s="5" t="s">
        <v>410</v>
      </c>
      <c r="G55" s="5" t="s">
        <v>511</v>
      </c>
      <c r="H55" s="28" t="n">
        <f aca="false">INDEX(Sales_Ledger!$B$6:$B$285,MATCH(C55,Sales_Ledger!$A$6:$A$285,0))</f>
        <v>46098</v>
      </c>
    </row>
    <row r="56" customFormat="false" ht="15" hidden="false" customHeight="false" outlineLevel="0" collapsed="false">
      <c r="A56" s="5" t="s">
        <v>512</v>
      </c>
      <c r="B56" s="41" t="n">
        <v>46167</v>
      </c>
      <c r="C56" s="5" t="s">
        <v>172</v>
      </c>
      <c r="D56" s="27" t="str">
        <f aca="false">INDEX(Sales_Ledger!$C$6:$C$285,MATCH(C56,Sales_Ledger!$A$6:$A$285,0))</f>
        <v>Cauvery Foods, Bengaluru</v>
      </c>
      <c r="E56" s="43" t="n">
        <v>543226</v>
      </c>
      <c r="F56" s="5" t="s">
        <v>410</v>
      </c>
      <c r="G56" s="5" t="s">
        <v>513</v>
      </c>
      <c r="H56" s="28" t="n">
        <f aca="false">INDEX(Sales_Ledger!$B$6:$B$285,MATCH(C56,Sales_Ledger!$A$6:$A$285,0))</f>
        <v>46122</v>
      </c>
    </row>
    <row r="57" customFormat="false" ht="15" hidden="false" customHeight="false" outlineLevel="0" collapsed="false">
      <c r="A57" s="5" t="s">
        <v>514</v>
      </c>
      <c r="B57" s="41" t="n">
        <v>46167</v>
      </c>
      <c r="C57" s="5" t="s">
        <v>179</v>
      </c>
      <c r="D57" s="27" t="str">
        <f aca="false">INDEX(Sales_Ledger!$C$6:$C$285,MATCH(C57,Sales_Ledger!$A$6:$A$285,0))</f>
        <v>Cauvery Foods, Bengaluru</v>
      </c>
      <c r="E57" s="43" t="n">
        <v>53409</v>
      </c>
      <c r="F57" s="5" t="s">
        <v>418</v>
      </c>
      <c r="G57" s="5" t="s">
        <v>515</v>
      </c>
      <c r="H57" s="28" t="n">
        <f aca="false">INDEX(Sales_Ledger!$B$6:$B$285,MATCH(C57,Sales_Ledger!$A$6:$A$285,0))</f>
        <v>46126</v>
      </c>
    </row>
    <row r="58" customFormat="false" ht="15" hidden="false" customHeight="false" outlineLevel="0" collapsed="false">
      <c r="A58" s="5" t="s">
        <v>516</v>
      </c>
      <c r="B58" s="41" t="n">
        <v>46168</v>
      </c>
      <c r="C58" s="5" t="s">
        <v>180</v>
      </c>
      <c r="D58" s="27" t="str">
        <f aca="false">INDEX(Sales_Ledger!$C$6:$C$285,MATCH(C58,Sales_Ledger!$A$6:$A$285,0))</f>
        <v>Coromandel Traders, Chennai</v>
      </c>
      <c r="E58" s="43" t="n">
        <v>436376</v>
      </c>
      <c r="F58" s="5" t="s">
        <v>413</v>
      </c>
      <c r="G58" s="5" t="s">
        <v>517</v>
      </c>
      <c r="H58" s="28" t="n">
        <f aca="false">INDEX(Sales_Ledger!$B$6:$B$285,MATCH(C58,Sales_Ledger!$A$6:$A$285,0))</f>
        <v>46128</v>
      </c>
    </row>
    <row r="59" customFormat="false" ht="15" hidden="false" customHeight="false" outlineLevel="0" collapsed="false">
      <c r="A59" s="5" t="s">
        <v>518</v>
      </c>
      <c r="B59" s="41" t="n">
        <v>46169</v>
      </c>
      <c r="C59" s="5" t="s">
        <v>181</v>
      </c>
      <c r="D59" s="27" t="str">
        <f aca="false">INDEX(Sales_Ledger!$C$6:$C$285,MATCH(C59,Sales_Ledger!$A$6:$A$285,0))</f>
        <v>Satluj Foods, Ludhiana</v>
      </c>
      <c r="E59" s="43" t="n">
        <v>142672</v>
      </c>
      <c r="F59" s="5" t="s">
        <v>410</v>
      </c>
      <c r="G59" s="5" t="s">
        <v>519</v>
      </c>
      <c r="H59" s="28" t="n">
        <f aca="false">INDEX(Sales_Ledger!$B$6:$B$285,MATCH(C59,Sales_Ledger!$A$6:$A$285,0))</f>
        <v>46128</v>
      </c>
    </row>
    <row r="60" customFormat="false" ht="15" hidden="false" customHeight="false" outlineLevel="0" collapsed="false">
      <c r="A60" s="5" t="s">
        <v>520</v>
      </c>
      <c r="B60" s="41" t="n">
        <v>46170</v>
      </c>
      <c r="C60" s="5" t="s">
        <v>184</v>
      </c>
      <c r="D60" s="27" t="str">
        <f aca="false">INDEX(Sales_Ledger!$C$6:$C$285,MATCH(C60,Sales_Ledger!$A$6:$A$285,0))</f>
        <v>Doon Distributors, Dehradun</v>
      </c>
      <c r="E60" s="43" t="n">
        <v>141257</v>
      </c>
      <c r="F60" s="5" t="s">
        <v>410</v>
      </c>
      <c r="G60" s="5" t="s">
        <v>521</v>
      </c>
      <c r="H60" s="28" t="n">
        <f aca="false">INDEX(Sales_Ledger!$B$6:$B$285,MATCH(C60,Sales_Ledger!$A$6:$A$285,0))</f>
        <v>46130</v>
      </c>
    </row>
    <row r="61" customFormat="false" ht="15" hidden="false" customHeight="false" outlineLevel="0" collapsed="false">
      <c r="A61" s="5" t="s">
        <v>522</v>
      </c>
      <c r="B61" s="41" t="n">
        <v>46170</v>
      </c>
      <c r="C61" s="5" t="s">
        <v>193</v>
      </c>
      <c r="D61" s="27" t="str">
        <f aca="false">INDEX(Sales_Ledger!$C$6:$C$285,MATCH(C61,Sales_Ledger!$A$6:$A$285,0))</f>
        <v>Coromandel Traders, Chennai</v>
      </c>
      <c r="E61" s="43" t="n">
        <v>129349</v>
      </c>
      <c r="F61" s="5" t="s">
        <v>410</v>
      </c>
      <c r="G61" s="5" t="s">
        <v>523</v>
      </c>
      <c r="H61" s="28" t="n">
        <f aca="false">INDEX(Sales_Ledger!$B$6:$B$285,MATCH(C61,Sales_Ledger!$A$6:$A$285,0))</f>
        <v>46135</v>
      </c>
    </row>
    <row r="62" customFormat="false" ht="15" hidden="false" customHeight="false" outlineLevel="0" collapsed="false">
      <c r="A62" s="5" t="s">
        <v>524</v>
      </c>
      <c r="B62" s="41" t="n">
        <v>46171</v>
      </c>
      <c r="C62" s="5" t="s">
        <v>182</v>
      </c>
      <c r="D62" s="27" t="str">
        <f aca="false">INDEX(Sales_Ledger!$C$6:$C$285,MATCH(C62,Sales_Ledger!$A$6:$A$285,0))</f>
        <v>Cauvery Foods, Bengaluru</v>
      </c>
      <c r="E62" s="43" t="n">
        <v>489018</v>
      </c>
      <c r="F62" s="5" t="s">
        <v>418</v>
      </c>
      <c r="G62" s="5" t="s">
        <v>525</v>
      </c>
      <c r="H62" s="28" t="n">
        <f aca="false">INDEX(Sales_Ledger!$B$6:$B$285,MATCH(C62,Sales_Ledger!$A$6:$A$285,0))</f>
        <v>46129</v>
      </c>
    </row>
    <row r="63" customFormat="false" ht="15" hidden="false" customHeight="false" outlineLevel="0" collapsed="false">
      <c r="A63" s="5" t="s">
        <v>526</v>
      </c>
      <c r="B63" s="41" t="n">
        <v>46172</v>
      </c>
      <c r="C63" s="5" t="s">
        <v>154</v>
      </c>
      <c r="D63" s="27" t="str">
        <f aca="false">INDEX(Sales_Ledger!$C$6:$C$285,MATCH(C63,Sales_Ledger!$A$6:$A$285,0))</f>
        <v>Magadh Agencies, Patna</v>
      </c>
      <c r="E63" s="43" t="n">
        <v>234108</v>
      </c>
      <c r="F63" s="5" t="s">
        <v>413</v>
      </c>
      <c r="G63" s="5" t="s">
        <v>527</v>
      </c>
      <c r="H63" s="28" t="n">
        <f aca="false">INDEX(Sales_Ledger!$B$6:$B$285,MATCH(C63,Sales_Ledger!$A$6:$A$285,0))</f>
        <v>46103</v>
      </c>
    </row>
    <row r="64" customFormat="false" ht="15" hidden="false" customHeight="false" outlineLevel="0" collapsed="false">
      <c r="A64" s="5" t="s">
        <v>528</v>
      </c>
      <c r="B64" s="41" t="n">
        <v>46172</v>
      </c>
      <c r="C64" s="5" t="s">
        <v>188</v>
      </c>
      <c r="D64" s="27" t="str">
        <f aca="false">INDEX(Sales_Ledger!$C$6:$C$285,MATCH(C64,Sales_Ledger!$A$6:$A$285,0))</f>
        <v>Konkan Distributors, Mumbai</v>
      </c>
      <c r="E64" s="43" t="n">
        <v>563733</v>
      </c>
      <c r="F64" s="5" t="s">
        <v>410</v>
      </c>
      <c r="G64" s="5" t="s">
        <v>529</v>
      </c>
      <c r="H64" s="28" t="n">
        <f aca="false">INDEX(Sales_Ledger!$B$6:$B$285,MATCH(C64,Sales_Ledger!$A$6:$A$285,0))</f>
        <v>46133</v>
      </c>
    </row>
    <row r="65" customFormat="false" ht="15" hidden="false" customHeight="false" outlineLevel="0" collapsed="false">
      <c r="A65" s="5" t="s">
        <v>530</v>
      </c>
      <c r="B65" s="41" t="n">
        <v>46173</v>
      </c>
      <c r="C65" s="5" t="s">
        <v>187</v>
      </c>
      <c r="D65" s="27" t="str">
        <f aca="false">INDEX(Sales_Ledger!$C$6:$C$285,MATCH(C65,Sales_Ledger!$A$6:$A$285,0))</f>
        <v>Krishna Distributors, Hyderabad</v>
      </c>
      <c r="E65" s="43" t="n">
        <v>169621</v>
      </c>
      <c r="F65" s="5" t="s">
        <v>410</v>
      </c>
      <c r="G65" s="5" t="s">
        <v>531</v>
      </c>
      <c r="H65" s="28" t="n">
        <f aca="false">INDEX(Sales_Ledger!$B$6:$B$285,MATCH(C65,Sales_Ledger!$A$6:$A$285,0))</f>
        <v>46132</v>
      </c>
    </row>
    <row r="66" customFormat="false" ht="15" hidden="false" customHeight="false" outlineLevel="0" collapsed="false">
      <c r="A66" s="5" t="s">
        <v>532</v>
      </c>
      <c r="B66" s="41" t="n">
        <v>46176</v>
      </c>
      <c r="C66" s="5" t="s">
        <v>149</v>
      </c>
      <c r="D66" s="27" t="str">
        <f aca="false">INDEX(Sales_Ledger!$C$6:$C$285,MATCH(C66,Sales_Ledger!$A$6:$A$285,0))</f>
        <v>Periyar Agencies, Kochi</v>
      </c>
      <c r="E66" s="43" t="n">
        <v>264218</v>
      </c>
      <c r="F66" s="5" t="s">
        <v>410</v>
      </c>
      <c r="G66" s="5" t="s">
        <v>533</v>
      </c>
      <c r="H66" s="28" t="n">
        <f aca="false">INDEX(Sales_Ledger!$B$6:$B$285,MATCH(C66,Sales_Ledger!$A$6:$A$285,0))</f>
        <v>46100</v>
      </c>
    </row>
    <row r="67" customFormat="false" ht="15" hidden="false" customHeight="false" outlineLevel="0" collapsed="false">
      <c r="A67" s="5" t="s">
        <v>534</v>
      </c>
      <c r="B67" s="41" t="n">
        <v>46176</v>
      </c>
      <c r="C67" s="5" t="s">
        <v>185</v>
      </c>
      <c r="D67" s="27" t="str">
        <f aca="false">INDEX(Sales_Ledger!$C$6:$C$285,MATCH(C67,Sales_Ledger!$A$6:$A$285,0))</f>
        <v>Konkan Distributors, Mumbai</v>
      </c>
      <c r="E67" s="43" t="n">
        <v>581952</v>
      </c>
      <c r="F67" s="5" t="s">
        <v>413</v>
      </c>
      <c r="G67" s="5" t="s">
        <v>535</v>
      </c>
      <c r="H67" s="28" t="n">
        <f aca="false">INDEX(Sales_Ledger!$B$6:$B$285,MATCH(C67,Sales_Ledger!$A$6:$A$285,0))</f>
        <v>46131</v>
      </c>
    </row>
    <row r="68" customFormat="false" ht="15" hidden="false" customHeight="false" outlineLevel="0" collapsed="false">
      <c r="A68" s="5" t="s">
        <v>536</v>
      </c>
      <c r="B68" s="41" t="n">
        <v>46176</v>
      </c>
      <c r="C68" s="5" t="s">
        <v>186</v>
      </c>
      <c r="D68" s="27" t="str">
        <f aca="false">INDEX(Sales_Ledger!$C$6:$C$285,MATCH(C68,Sales_Ledger!$A$6:$A$285,0))</f>
        <v>Doon Distributors, Dehradun</v>
      </c>
      <c r="E68" s="43" t="n">
        <v>194490</v>
      </c>
      <c r="F68" s="5" t="s">
        <v>410</v>
      </c>
      <c r="G68" s="5" t="s">
        <v>537</v>
      </c>
      <c r="H68" s="28" t="n">
        <f aca="false">INDEX(Sales_Ledger!$B$6:$B$285,MATCH(C68,Sales_Ledger!$A$6:$A$285,0))</f>
        <v>46131</v>
      </c>
    </row>
    <row r="69" customFormat="false" ht="15" hidden="false" customHeight="false" outlineLevel="0" collapsed="false">
      <c r="A69" s="5" t="s">
        <v>538</v>
      </c>
      <c r="B69" s="41" t="n">
        <v>46176</v>
      </c>
      <c r="C69" s="5" t="s">
        <v>195</v>
      </c>
      <c r="D69" s="27" t="str">
        <f aca="false">INDEX(Sales_Ledger!$C$6:$C$285,MATCH(C69,Sales_Ledger!$A$6:$A$285,0))</f>
        <v>Doon Distributors, Dehradun</v>
      </c>
      <c r="E69" s="43" t="n">
        <v>47572</v>
      </c>
      <c r="F69" s="5" t="s">
        <v>410</v>
      </c>
      <c r="G69" s="5" t="s">
        <v>539</v>
      </c>
      <c r="H69" s="28" t="n">
        <f aca="false">INDEX(Sales_Ledger!$B$6:$B$285,MATCH(C69,Sales_Ledger!$A$6:$A$285,0))</f>
        <v>46136</v>
      </c>
    </row>
    <row r="70" customFormat="false" ht="15" hidden="false" customHeight="false" outlineLevel="0" collapsed="false">
      <c r="A70" s="5" t="s">
        <v>540</v>
      </c>
      <c r="B70" s="41" t="n">
        <v>46177</v>
      </c>
      <c r="C70" s="5" t="s">
        <v>142</v>
      </c>
      <c r="D70" s="27" t="str">
        <f aca="false">INDEX(Sales_Ledger!$C$6:$C$285,MATCH(C70,Sales_Ledger!$A$6:$A$285,0))</f>
        <v>Periyar Agencies, Kochi</v>
      </c>
      <c r="E70" s="43" t="n">
        <v>74780</v>
      </c>
      <c r="F70" s="5" t="s">
        <v>418</v>
      </c>
      <c r="G70" s="5" t="s">
        <v>541</v>
      </c>
      <c r="H70" s="28" t="n">
        <f aca="false">INDEX(Sales_Ledger!$B$6:$B$285,MATCH(C70,Sales_Ledger!$A$6:$A$285,0))</f>
        <v>46092</v>
      </c>
    </row>
    <row r="71" customFormat="false" ht="15" hidden="false" customHeight="false" outlineLevel="0" collapsed="false">
      <c r="A71" s="5" t="s">
        <v>542</v>
      </c>
      <c r="B71" s="41" t="n">
        <v>46177</v>
      </c>
      <c r="C71" s="5" t="s">
        <v>169</v>
      </c>
      <c r="D71" s="27" t="str">
        <f aca="false">INDEX(Sales_Ledger!$C$6:$C$285,MATCH(C71,Sales_Ledger!$A$6:$A$285,0))</f>
        <v>Magadh Agencies, Patna</v>
      </c>
      <c r="E71" s="43" t="n">
        <v>287113</v>
      </c>
      <c r="F71" s="5" t="s">
        <v>413</v>
      </c>
      <c r="G71" s="5" t="s">
        <v>543</v>
      </c>
      <c r="H71" s="28" t="n">
        <f aca="false">INDEX(Sales_Ledger!$B$6:$B$285,MATCH(C71,Sales_Ledger!$A$6:$A$285,0))</f>
        <v>46119</v>
      </c>
    </row>
    <row r="72" customFormat="false" ht="15" hidden="false" customHeight="false" outlineLevel="0" collapsed="false">
      <c r="A72" s="5" t="s">
        <v>544</v>
      </c>
      <c r="B72" s="41" t="n">
        <v>46177</v>
      </c>
      <c r="C72" s="5" t="s">
        <v>190</v>
      </c>
      <c r="D72" s="27" t="str">
        <f aca="false">INDEX(Sales_Ledger!$C$6:$C$285,MATCH(C72,Sales_Ledger!$A$6:$A$285,0))</f>
        <v>Brahmaputra Traders, Guwahati</v>
      </c>
      <c r="E72" s="43" t="n">
        <v>151544</v>
      </c>
      <c r="F72" s="5" t="s">
        <v>410</v>
      </c>
      <c r="G72" s="5" t="s">
        <v>545</v>
      </c>
      <c r="H72" s="28" t="n">
        <f aca="false">INDEX(Sales_Ledger!$B$6:$B$285,MATCH(C72,Sales_Ledger!$A$6:$A$285,0))</f>
        <v>46133</v>
      </c>
    </row>
    <row r="73" customFormat="false" ht="15" hidden="false" customHeight="false" outlineLevel="0" collapsed="false">
      <c r="A73" s="5" t="s">
        <v>546</v>
      </c>
      <c r="B73" s="41" t="n">
        <v>46177</v>
      </c>
      <c r="C73" s="5" t="s">
        <v>203</v>
      </c>
      <c r="D73" s="27" t="str">
        <f aca="false">INDEX(Sales_Ledger!$C$6:$C$285,MATCH(C73,Sales_Ledger!$A$6:$A$285,0))</f>
        <v>Narmada Foods, Surat</v>
      </c>
      <c r="E73" s="43" t="n">
        <v>134531</v>
      </c>
      <c r="F73" s="5" t="s">
        <v>418</v>
      </c>
      <c r="G73" s="5" t="s">
        <v>547</v>
      </c>
      <c r="H73" s="28" t="n">
        <f aca="false">INDEX(Sales_Ledger!$B$6:$B$285,MATCH(C73,Sales_Ledger!$A$6:$A$285,0))</f>
        <v>46143</v>
      </c>
    </row>
    <row r="74" customFormat="false" ht="15" hidden="false" customHeight="false" outlineLevel="0" collapsed="false">
      <c r="A74" s="5" t="s">
        <v>548</v>
      </c>
      <c r="B74" s="41" t="n">
        <v>46178</v>
      </c>
      <c r="C74" s="5" t="s">
        <v>126</v>
      </c>
      <c r="D74" s="27" t="str">
        <f aca="false">INDEX(Sales_Ledger!$C$6:$C$285,MATCH(C74,Sales_Ledger!$A$6:$A$285,0))</f>
        <v>Awadh Agencies, Lucknow</v>
      </c>
      <c r="E74" s="43" t="n">
        <v>226045</v>
      </c>
      <c r="F74" s="5" t="s">
        <v>413</v>
      </c>
      <c r="G74" s="5" t="s">
        <v>549</v>
      </c>
      <c r="H74" s="28" t="n">
        <f aca="false">INDEX(Sales_Ledger!$B$6:$B$285,MATCH(C74,Sales_Ledger!$A$6:$A$285,0))</f>
        <v>46084</v>
      </c>
    </row>
    <row r="75" customFormat="false" ht="15" hidden="false" customHeight="false" outlineLevel="0" collapsed="false">
      <c r="A75" s="5" t="s">
        <v>550</v>
      </c>
      <c r="B75" s="41" t="n">
        <v>46178</v>
      </c>
      <c r="C75" s="5" t="s">
        <v>196</v>
      </c>
      <c r="D75" s="27" t="str">
        <f aca="false">INDEX(Sales_Ledger!$C$6:$C$285,MATCH(C75,Sales_Ledger!$A$6:$A$285,0))</f>
        <v>Hooghly Foods, Kolkata</v>
      </c>
      <c r="E75" s="43" t="n">
        <v>304058</v>
      </c>
      <c r="F75" s="5" t="s">
        <v>418</v>
      </c>
      <c r="G75" s="5" t="s">
        <v>551</v>
      </c>
      <c r="H75" s="28" t="n">
        <f aca="false">INDEX(Sales_Ledger!$B$6:$B$285,MATCH(C75,Sales_Ledger!$A$6:$A$285,0))</f>
        <v>46136</v>
      </c>
    </row>
    <row r="76" customFormat="false" ht="15" hidden="false" customHeight="false" outlineLevel="0" collapsed="false">
      <c r="A76" s="5" t="s">
        <v>552</v>
      </c>
      <c r="B76" s="41" t="n">
        <v>46178</v>
      </c>
      <c r="C76" s="5" t="s">
        <v>197</v>
      </c>
      <c r="D76" s="27" t="str">
        <f aca="false">INDEX(Sales_Ledger!$C$6:$C$285,MATCH(C76,Sales_Ledger!$A$6:$A$285,0))</f>
        <v>Satluj Foods, Ludhiana</v>
      </c>
      <c r="E76" s="43" t="n">
        <v>414607</v>
      </c>
      <c r="F76" s="5" t="s">
        <v>418</v>
      </c>
      <c r="G76" s="5" t="s">
        <v>553</v>
      </c>
      <c r="H76" s="28" t="n">
        <f aca="false">INDEX(Sales_Ledger!$B$6:$B$285,MATCH(C76,Sales_Ledger!$A$6:$A$285,0))</f>
        <v>46137</v>
      </c>
    </row>
    <row r="77" customFormat="false" ht="15" hidden="false" customHeight="false" outlineLevel="0" collapsed="false">
      <c r="A77" s="5" t="s">
        <v>554</v>
      </c>
      <c r="B77" s="41" t="n">
        <v>46180</v>
      </c>
      <c r="C77" s="5" t="s">
        <v>183</v>
      </c>
      <c r="D77" s="27" t="str">
        <f aca="false">INDEX(Sales_Ledger!$C$6:$C$285,MATCH(C77,Sales_Ledger!$A$6:$A$285,0))</f>
        <v>Satluj Foods, Ludhiana</v>
      </c>
      <c r="E77" s="43" t="n">
        <v>115427</v>
      </c>
      <c r="F77" s="5" t="s">
        <v>418</v>
      </c>
      <c r="G77" s="5" t="s">
        <v>555</v>
      </c>
      <c r="H77" s="28" t="n">
        <f aca="false">INDEX(Sales_Ledger!$B$6:$B$285,MATCH(C77,Sales_Ledger!$A$6:$A$285,0))</f>
        <v>46130</v>
      </c>
    </row>
    <row r="78" customFormat="false" ht="15" hidden="false" customHeight="false" outlineLevel="0" collapsed="false">
      <c r="A78" s="5" t="s">
        <v>556</v>
      </c>
      <c r="B78" s="41" t="n">
        <v>46181</v>
      </c>
      <c r="C78" s="5" t="s">
        <v>189</v>
      </c>
      <c r="D78" s="27" t="str">
        <f aca="false">INDEX(Sales_Ledger!$C$6:$C$285,MATCH(C78,Sales_Ledger!$A$6:$A$285,0))</f>
        <v>Narmada Foods, Surat</v>
      </c>
      <c r="E78" s="43" t="n">
        <v>380559</v>
      </c>
      <c r="F78" s="5" t="s">
        <v>418</v>
      </c>
      <c r="G78" s="5" t="s">
        <v>557</v>
      </c>
      <c r="H78" s="28" t="n">
        <f aca="false">INDEX(Sales_Ledger!$B$6:$B$285,MATCH(C78,Sales_Ledger!$A$6:$A$285,0))</f>
        <v>46133</v>
      </c>
    </row>
    <row r="79" customFormat="false" ht="15" hidden="false" customHeight="false" outlineLevel="0" collapsed="false">
      <c r="A79" s="5" t="s">
        <v>558</v>
      </c>
      <c r="B79" s="41" t="n">
        <v>46182</v>
      </c>
      <c r="C79" s="5" t="s">
        <v>207</v>
      </c>
      <c r="D79" s="27" t="str">
        <f aca="false">INDEX(Sales_Ledger!$C$6:$C$285,MATCH(C79,Sales_Ledger!$A$6:$A$285,0))</f>
        <v>Satluj Foods, Ludhiana</v>
      </c>
      <c r="E79" s="43" t="n">
        <v>400228</v>
      </c>
      <c r="F79" s="5" t="s">
        <v>413</v>
      </c>
      <c r="G79" s="5" t="s">
        <v>559</v>
      </c>
      <c r="H79" s="28" t="n">
        <f aca="false">INDEX(Sales_Ledger!$B$6:$B$285,MATCH(C79,Sales_Ledger!$A$6:$A$285,0))</f>
        <v>46146</v>
      </c>
    </row>
    <row r="80" customFormat="false" ht="15" hidden="false" customHeight="false" outlineLevel="0" collapsed="false">
      <c r="A80" s="5" t="s">
        <v>560</v>
      </c>
      <c r="B80" s="41" t="n">
        <v>46184</v>
      </c>
      <c r="C80" s="5" t="s">
        <v>164</v>
      </c>
      <c r="D80" s="27" t="str">
        <f aca="false">INDEX(Sales_Ledger!$C$6:$C$285,MATCH(C80,Sales_Ledger!$A$6:$A$285,0))</f>
        <v>Yamuna Traders, Delhi</v>
      </c>
      <c r="E80" s="43" t="n">
        <v>34378</v>
      </c>
      <c r="F80" s="5" t="s">
        <v>418</v>
      </c>
      <c r="G80" s="5" t="s">
        <v>561</v>
      </c>
      <c r="H80" s="28" t="n">
        <f aca="false">INDEX(Sales_Ledger!$B$6:$B$285,MATCH(C80,Sales_Ledger!$A$6:$A$285,0))</f>
        <v>46114</v>
      </c>
    </row>
    <row r="81" customFormat="false" ht="15" hidden="false" customHeight="false" outlineLevel="0" collapsed="false">
      <c r="A81" s="5" t="s">
        <v>562</v>
      </c>
      <c r="B81" s="41" t="n">
        <v>46184</v>
      </c>
      <c r="C81" s="5" t="s">
        <v>212</v>
      </c>
      <c r="D81" s="27" t="str">
        <f aca="false">INDEX(Sales_Ledger!$C$6:$C$285,MATCH(C81,Sales_Ledger!$A$6:$A$285,0))</f>
        <v>Yamuna Traders, Delhi</v>
      </c>
      <c r="E81" s="43" t="n">
        <v>384384</v>
      </c>
      <c r="F81" s="5" t="s">
        <v>410</v>
      </c>
      <c r="G81" s="5" t="s">
        <v>563</v>
      </c>
      <c r="H81" s="28" t="n">
        <f aca="false">INDEX(Sales_Ledger!$B$6:$B$285,MATCH(C81,Sales_Ledger!$A$6:$A$285,0))</f>
        <v>46151</v>
      </c>
    </row>
    <row r="82" customFormat="false" ht="15" hidden="false" customHeight="false" outlineLevel="0" collapsed="false">
      <c r="A82" s="5" t="s">
        <v>564</v>
      </c>
      <c r="B82" s="41" t="n">
        <v>46186</v>
      </c>
      <c r="C82" s="5" t="s">
        <v>198</v>
      </c>
      <c r="D82" s="27" t="str">
        <f aca="false">INDEX(Sales_Ledger!$C$6:$C$285,MATCH(C82,Sales_Ledger!$A$6:$A$285,0))</f>
        <v>Coromandel Traders, Chennai</v>
      </c>
      <c r="E82" s="43" t="n">
        <v>113653</v>
      </c>
      <c r="F82" s="5" t="s">
        <v>418</v>
      </c>
      <c r="G82" s="5" t="s">
        <v>565</v>
      </c>
      <c r="H82" s="28" t="n">
        <f aca="false">INDEX(Sales_Ledger!$B$6:$B$285,MATCH(C82,Sales_Ledger!$A$6:$A$285,0))</f>
        <v>46138</v>
      </c>
    </row>
    <row r="83" customFormat="false" ht="15" hidden="false" customHeight="false" outlineLevel="0" collapsed="false">
      <c r="A83" s="5" t="s">
        <v>566</v>
      </c>
      <c r="B83" s="41" t="n">
        <v>46186</v>
      </c>
      <c r="C83" s="5" t="s">
        <v>204</v>
      </c>
      <c r="D83" s="27" t="str">
        <f aca="false">INDEX(Sales_Ledger!$C$6:$C$285,MATCH(C83,Sales_Ledger!$A$6:$A$285,0))</f>
        <v>Satluj Foods, Ludhiana</v>
      </c>
      <c r="E83" s="43" t="n">
        <v>163329</v>
      </c>
      <c r="F83" s="5" t="s">
        <v>418</v>
      </c>
      <c r="G83" s="5" t="s">
        <v>567</v>
      </c>
      <c r="H83" s="28" t="n">
        <f aca="false">INDEX(Sales_Ledger!$B$6:$B$285,MATCH(C83,Sales_Ledger!$A$6:$A$285,0))</f>
        <v>46145</v>
      </c>
    </row>
    <row r="84" customFormat="false" ht="15" hidden="false" customHeight="false" outlineLevel="0" collapsed="false">
      <c r="A84" s="5" t="s">
        <v>568</v>
      </c>
      <c r="B84" s="41" t="n">
        <v>46186</v>
      </c>
      <c r="C84" s="5" t="s">
        <v>211</v>
      </c>
      <c r="D84" s="27" t="str">
        <f aca="false">INDEX(Sales_Ledger!$C$6:$C$285,MATCH(C84,Sales_Ledger!$A$6:$A$285,0))</f>
        <v>Brahmaputra Traders, Guwahati</v>
      </c>
      <c r="E84" s="43" t="n">
        <v>227490</v>
      </c>
      <c r="F84" s="5" t="s">
        <v>410</v>
      </c>
      <c r="G84" s="5" t="s">
        <v>569</v>
      </c>
      <c r="H84" s="28" t="n">
        <f aca="false">INDEX(Sales_Ledger!$B$6:$B$285,MATCH(C84,Sales_Ledger!$A$6:$A$285,0))</f>
        <v>46150</v>
      </c>
    </row>
    <row r="85" customFormat="false" ht="15" hidden="false" customHeight="false" outlineLevel="0" collapsed="false">
      <c r="A85" s="5" t="s">
        <v>570</v>
      </c>
      <c r="B85" s="41" t="n">
        <v>46187</v>
      </c>
      <c r="C85" s="5" t="s">
        <v>201</v>
      </c>
      <c r="D85" s="27" t="str">
        <f aca="false">INDEX(Sales_Ledger!$C$6:$C$285,MATCH(C85,Sales_Ledger!$A$6:$A$285,0))</f>
        <v>Krishna Distributors, Hyderabad</v>
      </c>
      <c r="E85" s="43" t="n">
        <v>454559</v>
      </c>
      <c r="F85" s="5" t="s">
        <v>418</v>
      </c>
      <c r="G85" s="5" t="s">
        <v>571</v>
      </c>
      <c r="H85" s="28" t="n">
        <f aca="false">INDEX(Sales_Ledger!$B$6:$B$285,MATCH(C85,Sales_Ledger!$A$6:$A$285,0))</f>
        <v>46140</v>
      </c>
    </row>
    <row r="86" customFormat="false" ht="15" hidden="false" customHeight="false" outlineLevel="0" collapsed="false">
      <c r="A86" s="5" t="s">
        <v>572</v>
      </c>
      <c r="B86" s="41" t="n">
        <v>46188</v>
      </c>
      <c r="C86" s="5" t="s">
        <v>193</v>
      </c>
      <c r="D86" s="27" t="str">
        <f aca="false">INDEX(Sales_Ledger!$C$6:$C$285,MATCH(C86,Sales_Ledger!$A$6:$A$285,0))</f>
        <v>Coromandel Traders, Chennai</v>
      </c>
      <c r="E86" s="43" t="n">
        <v>110323</v>
      </c>
      <c r="F86" s="5" t="s">
        <v>410</v>
      </c>
      <c r="G86" s="5" t="s">
        <v>573</v>
      </c>
      <c r="H86" s="28" t="n">
        <f aca="false">INDEX(Sales_Ledger!$B$6:$B$285,MATCH(C86,Sales_Ledger!$A$6:$A$285,0))</f>
        <v>46135</v>
      </c>
    </row>
    <row r="87" customFormat="false" ht="15" hidden="false" customHeight="false" outlineLevel="0" collapsed="false">
      <c r="A87" s="5" t="s">
        <v>574</v>
      </c>
      <c r="B87" s="41" t="n">
        <v>46188</v>
      </c>
      <c r="C87" s="5" t="s">
        <v>202</v>
      </c>
      <c r="D87" s="27" t="str">
        <f aca="false">INDEX(Sales_Ledger!$C$6:$C$285,MATCH(C87,Sales_Ledger!$A$6:$A$285,0))</f>
        <v>Krishna Distributors, Hyderabad</v>
      </c>
      <c r="E87" s="43" t="n">
        <v>116143</v>
      </c>
      <c r="F87" s="5" t="s">
        <v>410</v>
      </c>
      <c r="G87" s="5" t="s">
        <v>575</v>
      </c>
      <c r="H87" s="28" t="n">
        <f aca="false">INDEX(Sales_Ledger!$B$6:$B$285,MATCH(C87,Sales_Ledger!$A$6:$A$285,0))</f>
        <v>46142</v>
      </c>
    </row>
    <row r="88" customFormat="false" ht="15" hidden="false" customHeight="false" outlineLevel="0" collapsed="false">
      <c r="A88" s="5" t="s">
        <v>576</v>
      </c>
      <c r="B88" s="41" t="n">
        <v>46188</v>
      </c>
      <c r="C88" s="5" t="s">
        <v>221</v>
      </c>
      <c r="D88" s="27" t="str">
        <f aca="false">INDEX(Sales_Ledger!$C$6:$C$285,MATCH(C88,Sales_Ledger!$A$6:$A$285,0))</f>
        <v>Satluj Foods, Ludhiana</v>
      </c>
      <c r="E88" s="43" t="n">
        <v>221444</v>
      </c>
      <c r="F88" s="5" t="s">
        <v>413</v>
      </c>
      <c r="G88" s="5" t="s">
        <v>577</v>
      </c>
      <c r="H88" s="28" t="n">
        <f aca="false">INDEX(Sales_Ledger!$B$6:$B$285,MATCH(C88,Sales_Ledger!$A$6:$A$285,0))</f>
        <v>46155</v>
      </c>
    </row>
    <row r="89" customFormat="false" ht="15" hidden="false" customHeight="false" outlineLevel="0" collapsed="false">
      <c r="A89" s="5" t="s">
        <v>578</v>
      </c>
      <c r="B89" s="41" t="n">
        <v>46189</v>
      </c>
      <c r="C89" s="5" t="s">
        <v>199</v>
      </c>
      <c r="D89" s="27" t="str">
        <f aca="false">INDEX(Sales_Ledger!$C$6:$C$285,MATCH(C89,Sales_Ledger!$A$6:$A$285,0))</f>
        <v>Brahmaputra Traders, Guwahati</v>
      </c>
      <c r="E89" s="43" t="n">
        <v>232164</v>
      </c>
      <c r="F89" s="5" t="s">
        <v>410</v>
      </c>
      <c r="G89" s="5" t="s">
        <v>579</v>
      </c>
      <c r="H89" s="28" t="n">
        <f aca="false">INDEX(Sales_Ledger!$B$6:$B$285,MATCH(C89,Sales_Ledger!$A$6:$A$285,0))</f>
        <v>46139</v>
      </c>
    </row>
    <row r="90" customFormat="false" ht="15" hidden="false" customHeight="false" outlineLevel="0" collapsed="false">
      <c r="A90" s="5" t="s">
        <v>580</v>
      </c>
      <c r="B90" s="41" t="n">
        <v>46190</v>
      </c>
      <c r="C90" s="5" t="s">
        <v>210</v>
      </c>
      <c r="D90" s="27" t="str">
        <f aca="false">INDEX(Sales_Ledger!$C$6:$C$285,MATCH(C90,Sales_Ledger!$A$6:$A$285,0))</f>
        <v>Krishna Distributors, Hyderabad</v>
      </c>
      <c r="E90" s="43" t="n">
        <v>378487</v>
      </c>
      <c r="F90" s="5" t="s">
        <v>418</v>
      </c>
      <c r="G90" s="5" t="s">
        <v>581</v>
      </c>
      <c r="H90" s="28" t="n">
        <f aca="false">INDEX(Sales_Ledger!$B$6:$B$285,MATCH(C90,Sales_Ledger!$A$6:$A$285,0))</f>
        <v>46148</v>
      </c>
    </row>
    <row r="91" customFormat="false" ht="15" hidden="false" customHeight="false" outlineLevel="0" collapsed="false">
      <c r="A91" s="5" t="s">
        <v>582</v>
      </c>
      <c r="B91" s="41" t="n">
        <v>46191</v>
      </c>
      <c r="C91" s="5" t="s">
        <v>209</v>
      </c>
      <c r="D91" s="27" t="str">
        <f aca="false">INDEX(Sales_Ledger!$C$6:$C$285,MATCH(C91,Sales_Ledger!$A$6:$A$285,0))</f>
        <v>Coromandel Traders, Chennai</v>
      </c>
      <c r="E91" s="43" t="n">
        <v>464274</v>
      </c>
      <c r="F91" s="5" t="s">
        <v>410</v>
      </c>
      <c r="G91" s="5" t="s">
        <v>583</v>
      </c>
      <c r="H91" s="28" t="n">
        <f aca="false">INDEX(Sales_Ledger!$B$6:$B$285,MATCH(C91,Sales_Ledger!$A$6:$A$285,0))</f>
        <v>46148</v>
      </c>
    </row>
    <row r="92" customFormat="false" ht="15" hidden="false" customHeight="false" outlineLevel="0" collapsed="false">
      <c r="A92" s="5" t="s">
        <v>584</v>
      </c>
      <c r="B92" s="41" t="n">
        <v>46192</v>
      </c>
      <c r="C92" s="5" t="s">
        <v>205</v>
      </c>
      <c r="D92" s="27" t="str">
        <f aca="false">INDEX(Sales_Ledger!$C$6:$C$285,MATCH(C92,Sales_Ledger!$A$6:$A$285,0))</f>
        <v>Coromandel Traders, Chennai</v>
      </c>
      <c r="E92" s="43" t="n">
        <v>307613</v>
      </c>
      <c r="F92" s="5" t="s">
        <v>418</v>
      </c>
      <c r="G92" s="5" t="s">
        <v>585</v>
      </c>
      <c r="H92" s="28" t="n">
        <f aca="false">INDEX(Sales_Ledger!$B$6:$B$285,MATCH(C92,Sales_Ledger!$A$6:$A$285,0))</f>
        <v>46145</v>
      </c>
    </row>
    <row r="93" customFormat="false" ht="15" hidden="false" customHeight="false" outlineLevel="0" collapsed="false">
      <c r="A93" s="5" t="s">
        <v>586</v>
      </c>
      <c r="B93" s="41" t="n">
        <v>46193</v>
      </c>
      <c r="C93" s="5" t="s">
        <v>173</v>
      </c>
      <c r="D93" s="27" t="str">
        <f aca="false">INDEX(Sales_Ledger!$C$6:$C$285,MATCH(C93,Sales_Ledger!$A$6:$A$285,0))</f>
        <v>Periyar Agencies, Kochi</v>
      </c>
      <c r="E93" s="43" t="n">
        <v>198801</v>
      </c>
      <c r="F93" s="5" t="s">
        <v>418</v>
      </c>
      <c r="G93" s="5" t="s">
        <v>587</v>
      </c>
      <c r="H93" s="28" t="n">
        <f aca="false">INDEX(Sales_Ledger!$B$6:$B$285,MATCH(C93,Sales_Ledger!$A$6:$A$285,0))</f>
        <v>46123</v>
      </c>
    </row>
    <row r="94" customFormat="false" ht="15" hidden="false" customHeight="false" outlineLevel="0" collapsed="false">
      <c r="A94" s="5" t="s">
        <v>588</v>
      </c>
      <c r="B94" s="41" t="n">
        <v>46194</v>
      </c>
      <c r="C94" s="5" t="s">
        <v>170</v>
      </c>
      <c r="D94" s="27" t="str">
        <f aca="false">INDEX(Sales_Ledger!$C$6:$C$285,MATCH(C94,Sales_Ledger!$A$6:$A$285,0))</f>
        <v>Periyar Agencies, Kochi</v>
      </c>
      <c r="E94" s="43" t="n">
        <v>208335</v>
      </c>
      <c r="F94" s="5" t="s">
        <v>413</v>
      </c>
      <c r="G94" s="5" t="s">
        <v>589</v>
      </c>
      <c r="H94" s="28" t="n">
        <f aca="false">INDEX(Sales_Ledger!$B$6:$B$285,MATCH(C94,Sales_Ledger!$A$6:$A$285,0))</f>
        <v>46119</v>
      </c>
    </row>
    <row r="95" customFormat="false" ht="15" hidden="false" customHeight="false" outlineLevel="0" collapsed="false">
      <c r="A95" s="5" t="s">
        <v>590</v>
      </c>
      <c r="B95" s="41" t="n">
        <v>46194</v>
      </c>
      <c r="C95" s="5" t="s">
        <v>222</v>
      </c>
      <c r="D95" s="27" t="str">
        <f aca="false">INDEX(Sales_Ledger!$C$6:$C$285,MATCH(C95,Sales_Ledger!$A$6:$A$285,0))</f>
        <v>Brahmaputra Traders, Guwahati</v>
      </c>
      <c r="E95" s="43" t="n">
        <v>194806</v>
      </c>
      <c r="F95" s="5" t="s">
        <v>410</v>
      </c>
      <c r="G95" s="5" t="s">
        <v>591</v>
      </c>
      <c r="H95" s="28" t="n">
        <f aca="false">INDEX(Sales_Ledger!$B$6:$B$285,MATCH(C95,Sales_Ledger!$A$6:$A$285,0))</f>
        <v>46156</v>
      </c>
    </row>
    <row r="96" customFormat="false" ht="15" hidden="false" customHeight="false" outlineLevel="0" collapsed="false">
      <c r="A96" s="5" t="s">
        <v>592</v>
      </c>
      <c r="B96" s="41" t="n">
        <v>46194</v>
      </c>
      <c r="C96" s="5" t="s">
        <v>224</v>
      </c>
      <c r="D96" s="27" t="str">
        <f aca="false">INDEX(Sales_Ledger!$C$6:$C$285,MATCH(C96,Sales_Ledger!$A$6:$A$285,0))</f>
        <v>Konkan Distributors, Mumbai</v>
      </c>
      <c r="E96" s="43" t="n">
        <v>287692</v>
      </c>
      <c r="F96" s="5" t="s">
        <v>410</v>
      </c>
      <c r="G96" s="5" t="s">
        <v>593</v>
      </c>
      <c r="H96" s="28" t="n">
        <f aca="false">INDEX(Sales_Ledger!$B$6:$B$285,MATCH(C96,Sales_Ledger!$A$6:$A$285,0))</f>
        <v>46157</v>
      </c>
    </row>
    <row r="97" customFormat="false" ht="15" hidden="false" customHeight="false" outlineLevel="0" collapsed="false">
      <c r="A97" s="5" t="s">
        <v>594</v>
      </c>
      <c r="B97" s="41" t="n">
        <v>46196</v>
      </c>
      <c r="C97" s="5" t="s">
        <v>171</v>
      </c>
      <c r="D97" s="27" t="str">
        <f aca="false">INDEX(Sales_Ledger!$C$6:$C$285,MATCH(C97,Sales_Ledger!$A$6:$A$285,0))</f>
        <v>Periyar Agencies, Kochi</v>
      </c>
      <c r="E97" s="43" t="n">
        <v>135859</v>
      </c>
      <c r="F97" s="5" t="s">
        <v>410</v>
      </c>
      <c r="G97" s="5" t="s">
        <v>595</v>
      </c>
      <c r="H97" s="28" t="n">
        <f aca="false">INDEX(Sales_Ledger!$B$6:$B$285,MATCH(C97,Sales_Ledger!$A$6:$A$285,0))</f>
        <v>46122</v>
      </c>
    </row>
    <row r="98" customFormat="false" ht="15" hidden="false" customHeight="false" outlineLevel="0" collapsed="false">
      <c r="A98" s="5" t="s">
        <v>596</v>
      </c>
      <c r="B98" s="41" t="n">
        <v>46197</v>
      </c>
      <c r="C98" s="5" t="s">
        <v>215</v>
      </c>
      <c r="D98" s="27" t="str">
        <f aca="false">INDEX(Sales_Ledger!$C$6:$C$285,MATCH(C98,Sales_Ledger!$A$6:$A$285,0))</f>
        <v>Narmada Foods, Surat</v>
      </c>
      <c r="E98" s="43" t="n">
        <v>204871</v>
      </c>
      <c r="F98" s="5" t="s">
        <v>410</v>
      </c>
      <c r="G98" s="5" t="s">
        <v>597</v>
      </c>
      <c r="H98" s="28" t="n">
        <f aca="false">INDEX(Sales_Ledger!$B$6:$B$285,MATCH(C98,Sales_Ledger!$A$6:$A$285,0))</f>
        <v>46152</v>
      </c>
    </row>
    <row r="99" customFormat="false" ht="15" hidden="false" customHeight="false" outlineLevel="0" collapsed="false">
      <c r="A99" s="5" t="s">
        <v>598</v>
      </c>
      <c r="B99" s="41" t="n">
        <v>46197</v>
      </c>
      <c r="C99" s="5" t="s">
        <v>219</v>
      </c>
      <c r="D99" s="27" t="str">
        <f aca="false">INDEX(Sales_Ledger!$C$6:$C$285,MATCH(C99,Sales_Ledger!$A$6:$A$285,0))</f>
        <v>Hooghly Foods, Kolkata</v>
      </c>
      <c r="E99" s="43" t="n">
        <v>267497</v>
      </c>
      <c r="F99" s="5" t="s">
        <v>418</v>
      </c>
      <c r="G99" s="5" t="s">
        <v>599</v>
      </c>
      <c r="H99" s="28" t="n">
        <f aca="false">INDEX(Sales_Ledger!$B$6:$B$285,MATCH(C99,Sales_Ledger!$A$6:$A$285,0))</f>
        <v>46155</v>
      </c>
    </row>
    <row r="100" customFormat="false" ht="15" hidden="false" customHeight="false" outlineLevel="0" collapsed="false">
      <c r="A100" s="5" t="s">
        <v>600</v>
      </c>
      <c r="B100" s="41" t="n">
        <v>46197</v>
      </c>
      <c r="C100" s="5" t="s">
        <v>223</v>
      </c>
      <c r="D100" s="27" t="str">
        <f aca="false">INDEX(Sales_Ledger!$C$6:$C$285,MATCH(C100,Sales_Ledger!$A$6:$A$285,0))</f>
        <v>Satluj Foods, Ludhiana</v>
      </c>
      <c r="E100" s="43" t="n">
        <v>98579</v>
      </c>
      <c r="F100" s="5" t="s">
        <v>410</v>
      </c>
      <c r="G100" s="5" t="s">
        <v>601</v>
      </c>
      <c r="H100" s="28" t="n">
        <f aca="false">INDEX(Sales_Ledger!$B$6:$B$285,MATCH(C100,Sales_Ledger!$A$6:$A$285,0))</f>
        <v>46156</v>
      </c>
    </row>
    <row r="101" customFormat="false" ht="15" hidden="false" customHeight="false" outlineLevel="0" collapsed="false">
      <c r="A101" s="5" t="s">
        <v>602</v>
      </c>
      <c r="B101" s="41" t="n">
        <v>46197</v>
      </c>
      <c r="C101" s="5" t="s">
        <v>225</v>
      </c>
      <c r="D101" s="27" t="str">
        <f aca="false">INDEX(Sales_Ledger!$C$6:$C$285,MATCH(C101,Sales_Ledger!$A$6:$A$285,0))</f>
        <v>Yamuna Traders, Delhi</v>
      </c>
      <c r="E101" s="43" t="n">
        <v>301053</v>
      </c>
      <c r="F101" s="5" t="s">
        <v>410</v>
      </c>
      <c r="G101" s="5" t="s">
        <v>603</v>
      </c>
      <c r="H101" s="28" t="n">
        <f aca="false">INDEX(Sales_Ledger!$B$6:$B$285,MATCH(C101,Sales_Ledger!$A$6:$A$285,0))</f>
        <v>46158</v>
      </c>
    </row>
    <row r="102" customFormat="false" ht="15" hidden="false" customHeight="false" outlineLevel="0" collapsed="false">
      <c r="A102" s="5" t="s">
        <v>604</v>
      </c>
      <c r="B102" s="41" t="n">
        <v>46198</v>
      </c>
      <c r="C102" s="5" t="s">
        <v>192</v>
      </c>
      <c r="D102" s="27" t="str">
        <f aca="false">INDEX(Sales_Ledger!$C$6:$C$285,MATCH(C102,Sales_Ledger!$A$6:$A$285,0))</f>
        <v>Marwar Agencies, Jaipur</v>
      </c>
      <c r="E102" s="43" t="n">
        <v>355158</v>
      </c>
      <c r="F102" s="5" t="s">
        <v>413</v>
      </c>
      <c r="G102" s="5" t="s">
        <v>605</v>
      </c>
      <c r="H102" s="28" t="n">
        <f aca="false">INDEX(Sales_Ledger!$B$6:$B$285,MATCH(C102,Sales_Ledger!$A$6:$A$285,0))</f>
        <v>46135</v>
      </c>
    </row>
    <row r="103" customFormat="false" ht="15" hidden="false" customHeight="false" outlineLevel="0" collapsed="false">
      <c r="A103" s="5" t="s">
        <v>606</v>
      </c>
      <c r="B103" s="41" t="n">
        <v>46198</v>
      </c>
      <c r="C103" s="5" t="s">
        <v>216</v>
      </c>
      <c r="D103" s="27" t="str">
        <f aca="false">INDEX(Sales_Ledger!$C$6:$C$285,MATCH(C103,Sales_Ledger!$A$6:$A$285,0))</f>
        <v>Satluj Foods, Ludhiana</v>
      </c>
      <c r="E103" s="43" t="n">
        <v>267766</v>
      </c>
      <c r="F103" s="5" t="s">
        <v>410</v>
      </c>
      <c r="G103" s="5" t="s">
        <v>607</v>
      </c>
      <c r="H103" s="28" t="n">
        <f aca="false">INDEX(Sales_Ledger!$B$6:$B$285,MATCH(C103,Sales_Ledger!$A$6:$A$285,0))</f>
        <v>46153</v>
      </c>
    </row>
    <row r="104" customFormat="false" ht="15" hidden="false" customHeight="false" outlineLevel="0" collapsed="false">
      <c r="A104" s="5" t="s">
        <v>608</v>
      </c>
      <c r="B104" s="41" t="n">
        <v>46198</v>
      </c>
      <c r="C104" s="5" t="s">
        <v>227</v>
      </c>
      <c r="D104" s="27" t="str">
        <f aca="false">INDEX(Sales_Ledger!$C$6:$C$285,MATCH(C104,Sales_Ledger!$A$6:$A$285,0))</f>
        <v>Brahmaputra Traders, Guwahati</v>
      </c>
      <c r="E104" s="43" t="n">
        <v>298867</v>
      </c>
      <c r="F104" s="5" t="s">
        <v>410</v>
      </c>
      <c r="G104" s="5" t="s">
        <v>609</v>
      </c>
      <c r="H104" s="28" t="n">
        <f aca="false">INDEX(Sales_Ledger!$B$6:$B$285,MATCH(C104,Sales_Ledger!$A$6:$A$285,0))</f>
        <v>46159</v>
      </c>
    </row>
    <row r="105" customFormat="false" ht="15" hidden="false" customHeight="false" outlineLevel="0" collapsed="false">
      <c r="A105" s="5" t="s">
        <v>610</v>
      </c>
      <c r="B105" s="41" t="n">
        <v>46201</v>
      </c>
      <c r="C105" s="5" t="s">
        <v>206</v>
      </c>
      <c r="D105" s="27" t="str">
        <f aca="false">INDEX(Sales_Ledger!$C$6:$C$285,MATCH(C105,Sales_Ledger!$A$6:$A$285,0))</f>
        <v>Marwar Agencies, Jaipur</v>
      </c>
      <c r="E105" s="43" t="n">
        <v>169429</v>
      </c>
      <c r="F105" s="5" t="s">
        <v>410</v>
      </c>
      <c r="G105" s="5" t="s">
        <v>611</v>
      </c>
      <c r="H105" s="28" t="n">
        <f aca="false">INDEX(Sales_Ledger!$B$6:$B$285,MATCH(C105,Sales_Ledger!$A$6:$A$285,0))</f>
        <v>46146</v>
      </c>
    </row>
    <row r="106" customFormat="false" ht="15" hidden="false" customHeight="false" outlineLevel="0" collapsed="false">
      <c r="A106" s="5" t="s">
        <v>612</v>
      </c>
      <c r="B106" s="41" t="n">
        <v>46201</v>
      </c>
      <c r="C106" s="5" t="s">
        <v>213</v>
      </c>
      <c r="D106" s="27" t="str">
        <f aca="false">INDEX(Sales_Ledger!$C$6:$C$285,MATCH(C106,Sales_Ledger!$A$6:$A$285,0))</f>
        <v>Doon Distributors, Dehradun</v>
      </c>
      <c r="E106" s="43" t="n">
        <v>282617</v>
      </c>
      <c r="F106" s="5" t="s">
        <v>413</v>
      </c>
      <c r="G106" s="5" t="s">
        <v>613</v>
      </c>
      <c r="H106" s="28" t="n">
        <f aca="false">INDEX(Sales_Ledger!$B$6:$B$285,MATCH(C106,Sales_Ledger!$A$6:$A$285,0))</f>
        <v>46152</v>
      </c>
    </row>
    <row r="107" customFormat="false" ht="15" hidden="false" customHeight="false" outlineLevel="0" collapsed="false">
      <c r="A107" s="5" t="s">
        <v>614</v>
      </c>
      <c r="B107" s="41" t="n">
        <v>46202</v>
      </c>
      <c r="C107" s="5" t="s">
        <v>233</v>
      </c>
      <c r="D107" s="27" t="str">
        <f aca="false">INDEX(Sales_Ledger!$C$6:$C$285,MATCH(C107,Sales_Ledger!$A$6:$A$285,0))</f>
        <v>Brahmaputra Traders, Guwahati</v>
      </c>
      <c r="E107" s="43" t="n">
        <v>56647</v>
      </c>
      <c r="F107" s="5" t="s">
        <v>410</v>
      </c>
      <c r="G107" s="5" t="s">
        <v>615</v>
      </c>
      <c r="H107" s="28" t="n">
        <f aca="false">INDEX(Sales_Ledger!$B$6:$B$285,MATCH(C107,Sales_Ledger!$A$6:$A$285,0))</f>
        <v>46166</v>
      </c>
    </row>
    <row r="108" customFormat="false" ht="15" hidden="false" customHeight="false" outlineLevel="0" collapsed="false">
      <c r="A108" s="5" t="s">
        <v>616</v>
      </c>
      <c r="B108" s="41" t="n">
        <v>46202</v>
      </c>
      <c r="C108" s="5" t="s">
        <v>236</v>
      </c>
      <c r="D108" s="27" t="str">
        <f aca="false">INDEX(Sales_Ledger!$C$6:$C$285,MATCH(C108,Sales_Ledger!$A$6:$A$285,0))</f>
        <v>Cauvery Foods, Bengaluru</v>
      </c>
      <c r="E108" s="43" t="n">
        <v>278385</v>
      </c>
      <c r="F108" s="5" t="s">
        <v>413</v>
      </c>
      <c r="G108" s="5" t="s">
        <v>617</v>
      </c>
      <c r="H108" s="28" t="n">
        <f aca="false">INDEX(Sales_Ledger!$B$6:$B$285,MATCH(C108,Sales_Ledger!$A$6:$A$285,0))</f>
        <v>46170</v>
      </c>
    </row>
    <row r="109" customFormat="false" ht="15" hidden="false" customHeight="false" outlineLevel="0" collapsed="false">
      <c r="A109" s="5" t="s">
        <v>618</v>
      </c>
      <c r="B109" s="41" t="n">
        <v>46203</v>
      </c>
      <c r="C109" s="5" t="s">
        <v>220</v>
      </c>
      <c r="D109" s="27" t="str">
        <f aca="false">INDEX(Sales_Ledger!$C$6:$C$285,MATCH(C109,Sales_Ledger!$A$6:$A$285,0))</f>
        <v>Satluj Foods, Ludhiana</v>
      </c>
      <c r="E109" s="43" t="n">
        <v>223807</v>
      </c>
      <c r="F109" s="5" t="s">
        <v>418</v>
      </c>
      <c r="G109" s="5" t="s">
        <v>619</v>
      </c>
      <c r="H109" s="28" t="n">
        <f aca="false">INDEX(Sales_Ledger!$B$6:$B$285,MATCH(C109,Sales_Ledger!$A$6:$A$285,0))</f>
        <v>46155</v>
      </c>
    </row>
    <row r="110" customFormat="false" ht="15" hidden="false" customHeight="false" outlineLevel="0" collapsed="false">
      <c r="A110" s="5" t="s">
        <v>620</v>
      </c>
      <c r="B110" s="41" t="n">
        <v>46204</v>
      </c>
      <c r="C110" s="5" t="s">
        <v>228</v>
      </c>
      <c r="D110" s="27" t="str">
        <f aca="false">INDEX(Sales_Ledger!$C$6:$C$285,MATCH(C110,Sales_Ledger!$A$6:$A$285,0))</f>
        <v>Konkan Distributors, Mumbai</v>
      </c>
      <c r="E110" s="43" t="n">
        <v>478648</v>
      </c>
      <c r="F110" s="5" t="s">
        <v>418</v>
      </c>
      <c r="G110" s="5" t="s">
        <v>621</v>
      </c>
      <c r="H110" s="28" t="n">
        <f aca="false">INDEX(Sales_Ledger!$B$6:$B$285,MATCH(C110,Sales_Ledger!$A$6:$A$285,0))</f>
        <v>46161</v>
      </c>
    </row>
    <row r="111" customFormat="false" ht="15" hidden="false" customHeight="false" outlineLevel="0" collapsed="false">
      <c r="A111" s="5" t="s">
        <v>622</v>
      </c>
      <c r="B111" s="41" t="n">
        <v>46206</v>
      </c>
      <c r="C111" s="5" t="s">
        <v>229</v>
      </c>
      <c r="D111" s="27" t="str">
        <f aca="false">INDEX(Sales_Ledger!$C$6:$C$285,MATCH(C111,Sales_Ledger!$A$6:$A$285,0))</f>
        <v>Cauvery Foods, Bengaluru</v>
      </c>
      <c r="E111" s="43" t="n">
        <v>388417</v>
      </c>
      <c r="F111" s="5" t="s">
        <v>413</v>
      </c>
      <c r="G111" s="5" t="s">
        <v>623</v>
      </c>
      <c r="H111" s="28" t="n">
        <f aca="false">INDEX(Sales_Ledger!$B$6:$B$285,MATCH(C111,Sales_Ledger!$A$6:$A$285,0))</f>
        <v>46161</v>
      </c>
    </row>
    <row r="112" customFormat="false" ht="15" hidden="false" customHeight="false" outlineLevel="0" collapsed="false">
      <c r="A112" s="5" t="s">
        <v>624</v>
      </c>
      <c r="B112" s="41" t="n">
        <v>46208</v>
      </c>
      <c r="C112" s="5" t="s">
        <v>204</v>
      </c>
      <c r="D112" s="27" t="str">
        <f aca="false">INDEX(Sales_Ledger!$C$6:$C$285,MATCH(C112,Sales_Ledger!$A$6:$A$285,0))</f>
        <v>Satluj Foods, Ludhiana</v>
      </c>
      <c r="E112" s="43" t="n">
        <v>108223</v>
      </c>
      <c r="F112" s="5" t="s">
        <v>410</v>
      </c>
      <c r="G112" s="5" t="s">
        <v>625</v>
      </c>
      <c r="H112" s="28" t="n">
        <f aca="false">INDEX(Sales_Ledger!$B$6:$B$285,MATCH(C112,Sales_Ledger!$A$6:$A$285,0))</f>
        <v>46145</v>
      </c>
    </row>
    <row r="113" customFormat="false" ht="15" hidden="false" customHeight="false" outlineLevel="0" collapsed="false">
      <c r="A113" s="5" t="s">
        <v>626</v>
      </c>
      <c r="B113" s="41" t="n">
        <v>46210</v>
      </c>
      <c r="C113" s="5" t="s">
        <v>231</v>
      </c>
      <c r="D113" s="27" t="str">
        <f aca="false">INDEX(Sales_Ledger!$C$6:$C$285,MATCH(C113,Sales_Ledger!$A$6:$A$285,0))</f>
        <v>Doon Distributors, Dehradun</v>
      </c>
      <c r="E113" s="43" t="n">
        <v>256184</v>
      </c>
      <c r="F113" s="5" t="s">
        <v>413</v>
      </c>
      <c r="G113" s="5" t="s">
        <v>627</v>
      </c>
      <c r="H113" s="28" t="n">
        <f aca="false">INDEX(Sales_Ledger!$B$6:$B$285,MATCH(C113,Sales_Ledger!$A$6:$A$285,0))</f>
        <v>46164</v>
      </c>
    </row>
    <row r="114" customFormat="false" ht="15" hidden="false" customHeight="false" outlineLevel="0" collapsed="false">
      <c r="A114" s="5" t="s">
        <v>628</v>
      </c>
      <c r="B114" s="41" t="n">
        <v>46212</v>
      </c>
      <c r="C114" s="5" t="s">
        <v>241</v>
      </c>
      <c r="D114" s="27" t="str">
        <f aca="false">INDEX(Sales_Ledger!$C$6:$C$285,MATCH(C114,Sales_Ledger!$A$6:$A$285,0))</f>
        <v>Krishna Distributors, Hyderabad</v>
      </c>
      <c r="E114" s="43" t="n">
        <v>380009</v>
      </c>
      <c r="F114" s="5" t="s">
        <v>410</v>
      </c>
      <c r="G114" s="5" t="s">
        <v>629</v>
      </c>
      <c r="H114" s="28" t="n">
        <f aca="false">INDEX(Sales_Ledger!$B$6:$B$285,MATCH(C114,Sales_Ledger!$A$6:$A$285,0))</f>
        <v>46173</v>
      </c>
    </row>
    <row r="115" customFormat="false" ht="15" hidden="false" customHeight="false" outlineLevel="0" collapsed="false">
      <c r="A115" s="5" t="s">
        <v>630</v>
      </c>
      <c r="B115" s="41" t="n">
        <v>46213</v>
      </c>
      <c r="C115" s="5" t="s">
        <v>234</v>
      </c>
      <c r="D115" s="27" t="str">
        <f aca="false">INDEX(Sales_Ledger!$C$6:$C$285,MATCH(C115,Sales_Ledger!$A$6:$A$285,0))</f>
        <v>Konkan Distributors, Mumbai</v>
      </c>
      <c r="E115" s="43" t="n">
        <v>227276</v>
      </c>
      <c r="F115" s="5" t="s">
        <v>413</v>
      </c>
      <c r="G115" s="5" t="s">
        <v>631</v>
      </c>
      <c r="H115" s="28" t="n">
        <f aca="false">INDEX(Sales_Ledger!$B$6:$B$285,MATCH(C115,Sales_Ledger!$A$6:$A$285,0))</f>
        <v>46168</v>
      </c>
    </row>
    <row r="116" customFormat="false" ht="15" hidden="false" customHeight="false" outlineLevel="0" collapsed="false">
      <c r="A116" s="5" t="s">
        <v>632</v>
      </c>
      <c r="B116" s="41" t="n">
        <v>46214</v>
      </c>
      <c r="C116" s="5" t="s">
        <v>166</v>
      </c>
      <c r="D116" s="27" t="str">
        <f aca="false">INDEX(Sales_Ledger!$C$6:$C$285,MATCH(C116,Sales_Ledger!$A$6:$A$285,0))</f>
        <v>Awadh Agencies, Lucknow</v>
      </c>
      <c r="E116" s="43" t="n">
        <v>403840</v>
      </c>
      <c r="F116" s="5" t="s">
        <v>413</v>
      </c>
      <c r="G116" s="5" t="s">
        <v>633</v>
      </c>
      <c r="H116" s="28" t="n">
        <f aca="false">INDEX(Sales_Ledger!$B$6:$B$285,MATCH(C116,Sales_Ledger!$A$6:$A$285,0))</f>
        <v>46115</v>
      </c>
    </row>
    <row r="117" customFormat="false" ht="15" hidden="false" customHeight="false" outlineLevel="0" collapsed="false">
      <c r="A117" s="5" t="s">
        <v>634</v>
      </c>
      <c r="B117" s="41" t="n">
        <v>46214</v>
      </c>
      <c r="C117" s="5" t="s">
        <v>225</v>
      </c>
      <c r="D117" s="27" t="str">
        <f aca="false">INDEX(Sales_Ledger!$C$6:$C$285,MATCH(C117,Sales_Ledger!$A$6:$A$285,0))</f>
        <v>Yamuna Traders, Delhi</v>
      </c>
      <c r="E117" s="43" t="n">
        <v>134313</v>
      </c>
      <c r="F117" s="5" t="s">
        <v>418</v>
      </c>
      <c r="G117" s="5" t="s">
        <v>635</v>
      </c>
      <c r="H117" s="28" t="n">
        <f aca="false">INDEX(Sales_Ledger!$B$6:$B$285,MATCH(C117,Sales_Ledger!$A$6:$A$285,0))</f>
        <v>46158</v>
      </c>
    </row>
    <row r="118" customFormat="false" ht="15" hidden="false" customHeight="false" outlineLevel="0" collapsed="false">
      <c r="A118" s="5" t="s">
        <v>636</v>
      </c>
      <c r="B118" s="41" t="n">
        <v>46214</v>
      </c>
      <c r="C118" s="5" t="s">
        <v>243</v>
      </c>
      <c r="D118" s="27" t="str">
        <f aca="false">INDEX(Sales_Ledger!$C$6:$C$285,MATCH(C118,Sales_Ledger!$A$6:$A$285,0))</f>
        <v>Yamuna Traders, Delhi</v>
      </c>
      <c r="E118" s="43" t="n">
        <v>160464</v>
      </c>
      <c r="F118" s="5" t="s">
        <v>410</v>
      </c>
      <c r="G118" s="5" t="s">
        <v>637</v>
      </c>
      <c r="H118" s="28" t="n">
        <f aca="false">INDEX(Sales_Ledger!$B$6:$B$285,MATCH(C118,Sales_Ledger!$A$6:$A$285,0))</f>
        <v>46174</v>
      </c>
    </row>
    <row r="119" customFormat="false" ht="15" hidden="false" customHeight="false" outlineLevel="0" collapsed="false">
      <c r="A119" s="5" t="s">
        <v>638</v>
      </c>
      <c r="B119" s="41" t="n">
        <v>46215</v>
      </c>
      <c r="C119" s="5" t="s">
        <v>208</v>
      </c>
      <c r="D119" s="27" t="str">
        <f aca="false">INDEX(Sales_Ledger!$C$6:$C$285,MATCH(C119,Sales_Ledger!$A$6:$A$285,0))</f>
        <v>Magadh Agencies, Patna</v>
      </c>
      <c r="E119" s="43" t="n">
        <v>165693</v>
      </c>
      <c r="F119" s="5" t="s">
        <v>410</v>
      </c>
      <c r="G119" s="5" t="s">
        <v>639</v>
      </c>
      <c r="H119" s="28" t="n">
        <f aca="false">INDEX(Sales_Ledger!$B$6:$B$285,MATCH(C119,Sales_Ledger!$A$6:$A$285,0))</f>
        <v>46147</v>
      </c>
    </row>
    <row r="120" customFormat="false" ht="15" hidden="false" customHeight="false" outlineLevel="0" collapsed="false">
      <c r="A120" s="5" t="s">
        <v>640</v>
      </c>
      <c r="B120" s="41" t="n">
        <v>46215</v>
      </c>
      <c r="C120" s="5" t="s">
        <v>232</v>
      </c>
      <c r="D120" s="27" t="str">
        <f aca="false">INDEX(Sales_Ledger!$C$6:$C$285,MATCH(C120,Sales_Ledger!$A$6:$A$285,0))</f>
        <v>Brahmaputra Traders, Guwahati</v>
      </c>
      <c r="E120" s="43" t="n">
        <v>302246</v>
      </c>
      <c r="F120" s="5" t="s">
        <v>413</v>
      </c>
      <c r="G120" s="5" t="s">
        <v>641</v>
      </c>
      <c r="H120" s="28" t="n">
        <f aca="false">INDEX(Sales_Ledger!$B$6:$B$285,MATCH(C120,Sales_Ledger!$A$6:$A$285,0))</f>
        <v>46164</v>
      </c>
    </row>
    <row r="121" customFormat="false" ht="15" hidden="false" customHeight="false" outlineLevel="0" collapsed="false">
      <c r="A121" s="5" t="s">
        <v>642</v>
      </c>
      <c r="B121" s="41" t="n">
        <v>46215</v>
      </c>
      <c r="C121" s="5" t="s">
        <v>238</v>
      </c>
      <c r="D121" s="27" t="str">
        <f aca="false">INDEX(Sales_Ledger!$C$6:$C$285,MATCH(C121,Sales_Ledger!$A$6:$A$285,0))</f>
        <v>Doon Distributors, Dehradun</v>
      </c>
      <c r="E121" s="43" t="n">
        <v>100109</v>
      </c>
      <c r="F121" s="5" t="s">
        <v>410</v>
      </c>
      <c r="G121" s="5" t="s">
        <v>643</v>
      </c>
      <c r="H121" s="28" t="n">
        <f aca="false">INDEX(Sales_Ledger!$B$6:$B$285,MATCH(C121,Sales_Ledger!$A$6:$A$285,0))</f>
        <v>46171</v>
      </c>
    </row>
    <row r="122" customFormat="false" ht="15" hidden="false" customHeight="false" outlineLevel="0" collapsed="false">
      <c r="A122" s="5" t="s">
        <v>644</v>
      </c>
      <c r="B122" s="41" t="n">
        <v>46216</v>
      </c>
      <c r="C122" s="5" t="s">
        <v>194</v>
      </c>
      <c r="D122" s="27" t="str">
        <f aca="false">INDEX(Sales_Ledger!$C$6:$C$285,MATCH(C122,Sales_Ledger!$A$6:$A$285,0))</f>
        <v>Periyar Agencies, Kochi</v>
      </c>
      <c r="E122" s="43" t="n">
        <v>121413</v>
      </c>
      <c r="F122" s="5" t="s">
        <v>410</v>
      </c>
      <c r="G122" s="5" t="s">
        <v>645</v>
      </c>
      <c r="H122" s="28" t="n">
        <f aca="false">INDEX(Sales_Ledger!$B$6:$B$285,MATCH(C122,Sales_Ledger!$A$6:$A$285,0))</f>
        <v>46136</v>
      </c>
    </row>
    <row r="123" customFormat="false" ht="15" hidden="false" customHeight="false" outlineLevel="0" collapsed="false">
      <c r="A123" s="5" t="s">
        <v>646</v>
      </c>
      <c r="B123" s="41" t="n">
        <v>46216</v>
      </c>
      <c r="C123" s="5" t="s">
        <v>249</v>
      </c>
      <c r="D123" s="27" t="str">
        <f aca="false">INDEX(Sales_Ledger!$C$6:$C$285,MATCH(C123,Sales_Ledger!$A$6:$A$285,0))</f>
        <v>Konkan Distributors, Mumbai</v>
      </c>
      <c r="E123" s="43" t="n">
        <v>110064</v>
      </c>
      <c r="F123" s="5" t="s">
        <v>410</v>
      </c>
      <c r="G123" s="5" t="s">
        <v>647</v>
      </c>
      <c r="H123" s="28" t="n">
        <f aca="false">INDEX(Sales_Ledger!$B$6:$B$285,MATCH(C123,Sales_Ledger!$A$6:$A$285,0))</f>
        <v>46180</v>
      </c>
    </row>
    <row r="124" customFormat="false" ht="15" hidden="false" customHeight="false" outlineLevel="0" collapsed="false">
      <c r="A124" s="5" t="s">
        <v>648</v>
      </c>
      <c r="B124" s="41" t="n">
        <v>46216</v>
      </c>
      <c r="C124" s="5" t="s">
        <v>259</v>
      </c>
      <c r="D124" s="27" t="str">
        <f aca="false">INDEX(Sales_Ledger!$C$6:$C$285,MATCH(C124,Sales_Ledger!$A$6:$A$285,0))</f>
        <v>Yamuna Traders, Delhi</v>
      </c>
      <c r="E124" s="43" t="n">
        <v>190471</v>
      </c>
      <c r="F124" s="5" t="s">
        <v>410</v>
      </c>
      <c r="G124" s="5" t="s">
        <v>649</v>
      </c>
      <c r="H124" s="28" t="n">
        <f aca="false">INDEX(Sales_Ledger!$B$6:$B$285,MATCH(C124,Sales_Ledger!$A$6:$A$285,0))</f>
        <v>46186</v>
      </c>
    </row>
    <row r="125" customFormat="false" ht="15" hidden="false" customHeight="false" outlineLevel="0" collapsed="false">
      <c r="A125" s="5" t="s">
        <v>650</v>
      </c>
      <c r="B125" s="41" t="n">
        <v>46217</v>
      </c>
      <c r="C125" s="5" t="s">
        <v>253</v>
      </c>
      <c r="D125" s="27" t="str">
        <f aca="false">INDEX(Sales_Ledger!$C$6:$C$285,MATCH(C125,Sales_Ledger!$A$6:$A$285,0))</f>
        <v>Narmada Foods, Surat</v>
      </c>
      <c r="E125" s="43" t="n">
        <v>70625</v>
      </c>
      <c r="F125" s="5" t="s">
        <v>410</v>
      </c>
      <c r="G125" s="5" t="s">
        <v>651</v>
      </c>
      <c r="H125" s="28" t="n">
        <f aca="false">INDEX(Sales_Ledger!$B$6:$B$285,MATCH(C125,Sales_Ledger!$A$6:$A$285,0))</f>
        <v>46183</v>
      </c>
    </row>
    <row r="126" customFormat="false" ht="15" hidden="false" customHeight="false" outlineLevel="0" collapsed="false">
      <c r="A126" s="5" t="s">
        <v>652</v>
      </c>
      <c r="B126" s="41" t="n">
        <v>46217</v>
      </c>
      <c r="C126" s="5" t="s">
        <v>256</v>
      </c>
      <c r="D126" s="27" t="str">
        <f aca="false">INDEX(Sales_Ledger!$C$6:$C$285,MATCH(C126,Sales_Ledger!$A$6:$A$285,0))</f>
        <v>Hooghly Foods, Kolkata</v>
      </c>
      <c r="E126" s="43" t="n">
        <v>58331</v>
      </c>
      <c r="F126" s="5" t="s">
        <v>410</v>
      </c>
      <c r="G126" s="5" t="s">
        <v>653</v>
      </c>
      <c r="H126" s="28" t="n">
        <f aca="false">INDEX(Sales_Ledger!$B$6:$B$285,MATCH(C126,Sales_Ledger!$A$6:$A$285,0))</f>
        <v>46185</v>
      </c>
    </row>
    <row r="127" customFormat="false" ht="15" hidden="false" customHeight="false" outlineLevel="0" collapsed="false">
      <c r="A127" s="5" t="s">
        <v>654</v>
      </c>
      <c r="B127" s="41" t="n">
        <v>46218</v>
      </c>
      <c r="C127" s="5" t="s">
        <v>171</v>
      </c>
      <c r="D127" s="27" t="str">
        <f aca="false">INDEX(Sales_Ledger!$C$6:$C$285,MATCH(C127,Sales_Ledger!$A$6:$A$285,0))</f>
        <v>Periyar Agencies, Kochi</v>
      </c>
      <c r="E127" s="43" t="n">
        <v>115733</v>
      </c>
      <c r="F127" s="5" t="s">
        <v>410</v>
      </c>
      <c r="G127" s="5" t="s">
        <v>655</v>
      </c>
      <c r="H127" s="28" t="n">
        <f aca="false">INDEX(Sales_Ledger!$B$6:$B$285,MATCH(C127,Sales_Ledger!$A$6:$A$285,0))</f>
        <v>46122</v>
      </c>
    </row>
    <row r="128" customFormat="false" ht="15" hidden="false" customHeight="false" outlineLevel="0" collapsed="false">
      <c r="A128" s="5" t="s">
        <v>656</v>
      </c>
      <c r="B128" s="41" t="n">
        <v>46218</v>
      </c>
      <c r="C128" s="5" t="s">
        <v>242</v>
      </c>
      <c r="D128" s="27" t="str">
        <f aca="false">INDEX(Sales_Ledger!$C$6:$C$285,MATCH(C128,Sales_Ledger!$A$6:$A$285,0))</f>
        <v>Coromandel Traders, Chennai</v>
      </c>
      <c r="E128" s="43" t="n">
        <v>185761</v>
      </c>
      <c r="F128" s="5" t="s">
        <v>410</v>
      </c>
      <c r="G128" s="5" t="s">
        <v>657</v>
      </c>
      <c r="H128" s="28" t="n">
        <f aca="false">INDEX(Sales_Ledger!$B$6:$B$285,MATCH(C128,Sales_Ledger!$A$6:$A$285,0))</f>
        <v>46173</v>
      </c>
    </row>
    <row r="129" customFormat="false" ht="15" hidden="false" customHeight="false" outlineLevel="0" collapsed="false">
      <c r="A129" s="5" t="s">
        <v>658</v>
      </c>
      <c r="B129" s="41" t="n">
        <v>46219</v>
      </c>
      <c r="C129" s="5" t="s">
        <v>240</v>
      </c>
      <c r="D129" s="27" t="str">
        <f aca="false">INDEX(Sales_Ledger!$C$6:$C$285,MATCH(C129,Sales_Ledger!$A$6:$A$285,0))</f>
        <v>Satluj Foods, Ludhiana</v>
      </c>
      <c r="E129" s="43" t="n">
        <v>146154</v>
      </c>
      <c r="F129" s="5" t="s">
        <v>418</v>
      </c>
      <c r="G129" s="5" t="s">
        <v>659</v>
      </c>
      <c r="H129" s="28" t="n">
        <f aca="false">INDEX(Sales_Ledger!$B$6:$B$285,MATCH(C129,Sales_Ledger!$A$6:$A$285,0))</f>
        <v>46173</v>
      </c>
    </row>
    <row r="130" customFormat="false" ht="15" hidden="false" customHeight="false" outlineLevel="0" collapsed="false">
      <c r="A130" s="5" t="s">
        <v>660</v>
      </c>
      <c r="B130" s="41" t="n">
        <v>46219</v>
      </c>
      <c r="C130" s="5" t="s">
        <v>245</v>
      </c>
      <c r="D130" s="27" t="str">
        <f aca="false">INDEX(Sales_Ledger!$C$6:$C$285,MATCH(C130,Sales_Ledger!$A$6:$A$285,0))</f>
        <v>Yamuna Traders, Delhi</v>
      </c>
      <c r="E130" s="43" t="n">
        <v>442222</v>
      </c>
      <c r="F130" s="5" t="s">
        <v>410</v>
      </c>
      <c r="G130" s="5" t="s">
        <v>661</v>
      </c>
      <c r="H130" s="28" t="n">
        <f aca="false">INDEX(Sales_Ledger!$B$6:$B$285,MATCH(C130,Sales_Ledger!$A$6:$A$285,0))</f>
        <v>46174</v>
      </c>
    </row>
    <row r="131" customFormat="false" ht="15" hidden="false" customHeight="false" outlineLevel="0" collapsed="false">
      <c r="A131" s="5" t="s">
        <v>662</v>
      </c>
      <c r="B131" s="41" t="n">
        <v>46220</v>
      </c>
      <c r="C131" s="5" t="s">
        <v>200</v>
      </c>
      <c r="D131" s="27" t="str">
        <f aca="false">INDEX(Sales_Ledger!$C$6:$C$285,MATCH(C131,Sales_Ledger!$A$6:$A$285,0))</f>
        <v>Periyar Agencies, Kochi</v>
      </c>
      <c r="E131" s="43" t="n">
        <v>120297</v>
      </c>
      <c r="F131" s="5" t="s">
        <v>410</v>
      </c>
      <c r="G131" s="5" t="s">
        <v>663</v>
      </c>
      <c r="H131" s="28" t="n">
        <f aca="false">INDEX(Sales_Ledger!$B$6:$B$285,MATCH(C131,Sales_Ledger!$A$6:$A$285,0))</f>
        <v>46140</v>
      </c>
    </row>
    <row r="132" customFormat="false" ht="15" hidden="false" customHeight="false" outlineLevel="0" collapsed="false">
      <c r="A132" s="5" t="s">
        <v>664</v>
      </c>
      <c r="B132" s="41" t="n">
        <v>46223</v>
      </c>
      <c r="C132" s="5" t="s">
        <v>248</v>
      </c>
      <c r="D132" s="27" t="str">
        <f aca="false">INDEX(Sales_Ledger!$C$6:$C$285,MATCH(C132,Sales_Ledger!$A$6:$A$285,0))</f>
        <v>Yamuna Traders, Delhi</v>
      </c>
      <c r="E132" s="43" t="n">
        <v>518574</v>
      </c>
      <c r="F132" s="5" t="s">
        <v>418</v>
      </c>
      <c r="G132" s="5" t="s">
        <v>665</v>
      </c>
      <c r="H132" s="28" t="n">
        <f aca="false">INDEX(Sales_Ledger!$B$6:$B$285,MATCH(C132,Sales_Ledger!$A$6:$A$285,0))</f>
        <v>46180</v>
      </c>
    </row>
    <row r="133" customFormat="false" ht="15" hidden="false" customHeight="false" outlineLevel="0" collapsed="false">
      <c r="A133" s="5" t="s">
        <v>666</v>
      </c>
      <c r="B133" s="41" t="n">
        <v>46223</v>
      </c>
      <c r="C133" s="5" t="s">
        <v>251</v>
      </c>
      <c r="D133" s="27" t="str">
        <f aca="false">INDEX(Sales_Ledger!$C$6:$C$285,MATCH(C133,Sales_Ledger!$A$6:$A$285,0))</f>
        <v>Satluj Foods, Ludhiana</v>
      </c>
      <c r="E133" s="43" t="n">
        <v>140233</v>
      </c>
      <c r="F133" s="5" t="s">
        <v>410</v>
      </c>
      <c r="G133" s="5" t="s">
        <v>667</v>
      </c>
      <c r="H133" s="28" t="n">
        <f aca="false">INDEX(Sales_Ledger!$B$6:$B$285,MATCH(C133,Sales_Ledger!$A$6:$A$285,0))</f>
        <v>46182</v>
      </c>
    </row>
    <row r="134" customFormat="false" ht="15" hidden="false" customHeight="false" outlineLevel="0" collapsed="false">
      <c r="A134" s="5" t="s">
        <v>668</v>
      </c>
      <c r="B134" s="41" t="n">
        <v>46224</v>
      </c>
      <c r="C134" s="5" t="s">
        <v>247</v>
      </c>
      <c r="D134" s="27" t="str">
        <f aca="false">INDEX(Sales_Ledger!$C$6:$C$285,MATCH(C134,Sales_Ledger!$A$6:$A$285,0))</f>
        <v>Doon Distributors, Dehradun</v>
      </c>
      <c r="E134" s="43" t="n">
        <v>189315</v>
      </c>
      <c r="F134" s="5" t="s">
        <v>418</v>
      </c>
      <c r="G134" s="5" t="s">
        <v>669</v>
      </c>
      <c r="H134" s="28" t="n">
        <f aca="false">INDEX(Sales_Ledger!$B$6:$B$285,MATCH(C134,Sales_Ledger!$A$6:$A$285,0))</f>
        <v>46178</v>
      </c>
    </row>
    <row r="135" customFormat="false" ht="15" hidden="false" customHeight="false" outlineLevel="0" collapsed="false">
      <c r="A135" s="5" t="s">
        <v>670</v>
      </c>
      <c r="B135" s="41" t="n">
        <v>46225</v>
      </c>
      <c r="C135" s="5" t="s">
        <v>255</v>
      </c>
      <c r="D135" s="27" t="str">
        <f aca="false">INDEX(Sales_Ledger!$C$6:$C$285,MATCH(C135,Sales_Ledger!$A$6:$A$285,0))</f>
        <v>Hooghly Foods, Kolkata</v>
      </c>
      <c r="E135" s="43" t="n">
        <v>121206</v>
      </c>
      <c r="F135" s="5" t="s">
        <v>418</v>
      </c>
      <c r="G135" s="5" t="s">
        <v>671</v>
      </c>
      <c r="H135" s="28" t="n">
        <f aca="false">INDEX(Sales_Ledger!$B$6:$B$285,MATCH(C135,Sales_Ledger!$A$6:$A$285,0))</f>
        <v>46185</v>
      </c>
    </row>
    <row r="136" customFormat="false" ht="15" hidden="false" customHeight="false" outlineLevel="0" collapsed="false">
      <c r="A136" s="5" t="s">
        <v>672</v>
      </c>
      <c r="B136" s="41" t="n">
        <v>46225</v>
      </c>
      <c r="C136" s="5" t="s">
        <v>261</v>
      </c>
      <c r="D136" s="27" t="str">
        <f aca="false">INDEX(Sales_Ledger!$C$6:$C$285,MATCH(C136,Sales_Ledger!$A$6:$A$285,0))</f>
        <v>Krishna Distributors, Hyderabad</v>
      </c>
      <c r="E136" s="43" t="n">
        <v>188210</v>
      </c>
      <c r="F136" s="5" t="s">
        <v>410</v>
      </c>
      <c r="G136" s="5" t="s">
        <v>673</v>
      </c>
      <c r="H136" s="28" t="n">
        <f aca="false">INDEX(Sales_Ledger!$B$6:$B$285,MATCH(C136,Sales_Ledger!$A$6:$A$285,0))</f>
        <v>46187</v>
      </c>
    </row>
    <row r="137" customFormat="false" ht="15" hidden="false" customHeight="false" outlineLevel="0" collapsed="false">
      <c r="A137" s="5" t="s">
        <v>674</v>
      </c>
      <c r="B137" s="41" t="n">
        <v>46225</v>
      </c>
      <c r="C137" s="5" t="s">
        <v>267</v>
      </c>
      <c r="D137" s="27" t="str">
        <f aca="false">INDEX(Sales_Ledger!$C$6:$C$285,MATCH(C137,Sales_Ledger!$A$6:$A$285,0))</f>
        <v>Yamuna Traders, Delhi</v>
      </c>
      <c r="E137" s="43" t="n">
        <v>139616</v>
      </c>
      <c r="F137" s="5" t="s">
        <v>418</v>
      </c>
      <c r="G137" s="5" t="s">
        <v>675</v>
      </c>
      <c r="H137" s="28" t="n">
        <f aca="false">INDEX(Sales_Ledger!$B$6:$B$285,MATCH(C137,Sales_Ledger!$A$6:$A$285,0))</f>
        <v>46191</v>
      </c>
    </row>
    <row r="138" customFormat="false" ht="15" hidden="false" customHeight="false" outlineLevel="0" collapsed="false">
      <c r="A138" s="5" t="s">
        <v>676</v>
      </c>
      <c r="B138" s="41" t="n">
        <v>46226</v>
      </c>
      <c r="C138" s="5" t="s">
        <v>246</v>
      </c>
      <c r="D138" s="27" t="str">
        <f aca="false">INDEX(Sales_Ledger!$C$6:$C$285,MATCH(C138,Sales_Ledger!$A$6:$A$285,0))</f>
        <v>Coromandel Traders, Chennai</v>
      </c>
      <c r="E138" s="43" t="n">
        <v>420434</v>
      </c>
      <c r="F138" s="5" t="s">
        <v>413</v>
      </c>
      <c r="G138" s="5" t="s">
        <v>677</v>
      </c>
      <c r="H138" s="28" t="n">
        <f aca="false">INDEX(Sales_Ledger!$B$6:$B$285,MATCH(C138,Sales_Ledger!$A$6:$A$285,0))</f>
        <v>46175</v>
      </c>
    </row>
    <row r="139" customFormat="false" ht="15" hidden="false" customHeight="false" outlineLevel="0" collapsed="false">
      <c r="A139" s="5" t="s">
        <v>678</v>
      </c>
      <c r="B139" s="41" t="n">
        <v>46226</v>
      </c>
      <c r="C139" s="5" t="s">
        <v>262</v>
      </c>
      <c r="D139" s="27" t="str">
        <f aca="false">INDEX(Sales_Ledger!$C$6:$C$285,MATCH(C139,Sales_Ledger!$A$6:$A$285,0))</f>
        <v>Konkan Distributors, Mumbai</v>
      </c>
      <c r="E139" s="43" t="n">
        <v>506035</v>
      </c>
      <c r="F139" s="5" t="s">
        <v>413</v>
      </c>
      <c r="G139" s="5" t="s">
        <v>679</v>
      </c>
      <c r="H139" s="28" t="n">
        <f aca="false">INDEX(Sales_Ledger!$B$6:$B$285,MATCH(C139,Sales_Ledger!$A$6:$A$285,0))</f>
        <v>46187</v>
      </c>
    </row>
    <row r="140" customFormat="false" ht="15" hidden="false" customHeight="false" outlineLevel="0" collapsed="false">
      <c r="A140" s="5" t="s">
        <v>680</v>
      </c>
      <c r="B140" s="41" t="n">
        <v>46227</v>
      </c>
      <c r="C140" s="5" t="s">
        <v>252</v>
      </c>
      <c r="D140" s="27" t="str">
        <f aca="false">INDEX(Sales_Ledger!$C$6:$C$285,MATCH(C140,Sales_Ledger!$A$6:$A$285,0))</f>
        <v>Yamuna Traders, Delhi</v>
      </c>
      <c r="E140" s="43" t="n">
        <v>136512</v>
      </c>
      <c r="F140" s="5" t="s">
        <v>410</v>
      </c>
      <c r="G140" s="5" t="s">
        <v>681</v>
      </c>
      <c r="H140" s="28" t="n">
        <f aca="false">INDEX(Sales_Ledger!$B$6:$B$285,MATCH(C140,Sales_Ledger!$A$6:$A$285,0))</f>
        <v>46182</v>
      </c>
    </row>
    <row r="141" customFormat="false" ht="15" hidden="false" customHeight="false" outlineLevel="0" collapsed="false">
      <c r="A141" s="5" t="s">
        <v>682</v>
      </c>
      <c r="B141" s="41" t="n">
        <v>46227</v>
      </c>
      <c r="C141" s="5" t="s">
        <v>258</v>
      </c>
      <c r="D141" s="27" t="str">
        <f aca="false">INDEX(Sales_Ledger!$C$6:$C$285,MATCH(C141,Sales_Ledger!$A$6:$A$285,0))</f>
        <v>Satluj Foods, Ludhiana</v>
      </c>
      <c r="E141" s="43" t="n">
        <v>125040</v>
      </c>
      <c r="F141" s="5" t="s">
        <v>418</v>
      </c>
      <c r="G141" s="5" t="s">
        <v>683</v>
      </c>
      <c r="H141" s="28" t="n">
        <f aca="false">INDEX(Sales_Ledger!$B$6:$B$285,MATCH(C141,Sales_Ledger!$A$6:$A$285,0))</f>
        <v>46186</v>
      </c>
    </row>
    <row r="142" customFormat="false" ht="15" hidden="false" customHeight="false" outlineLevel="0" collapsed="false">
      <c r="A142" s="5" t="s">
        <v>684</v>
      </c>
      <c r="B142" s="41" t="n">
        <v>46228</v>
      </c>
      <c r="C142" s="5" t="s">
        <v>256</v>
      </c>
      <c r="D142" s="27" t="str">
        <f aca="false">INDEX(Sales_Ledger!$C$6:$C$285,MATCH(C142,Sales_Ledger!$A$6:$A$285,0))</f>
        <v>Hooghly Foods, Kolkata</v>
      </c>
      <c r="E142" s="43" t="n">
        <v>50479</v>
      </c>
      <c r="F142" s="5" t="s">
        <v>410</v>
      </c>
      <c r="G142" s="5" t="s">
        <v>685</v>
      </c>
      <c r="H142" s="28" t="n">
        <f aca="false">INDEX(Sales_Ledger!$B$6:$B$285,MATCH(C142,Sales_Ledger!$A$6:$A$285,0))</f>
        <v>46185</v>
      </c>
    </row>
    <row r="143" customFormat="false" ht="15" hidden="false" customHeight="false" outlineLevel="0" collapsed="false">
      <c r="A143" s="5" t="s">
        <v>686</v>
      </c>
      <c r="B143" s="41" t="n">
        <v>46229</v>
      </c>
      <c r="C143" s="5" t="s">
        <v>239</v>
      </c>
      <c r="D143" s="27" t="str">
        <f aca="false">INDEX(Sales_Ledger!$C$6:$C$285,MATCH(C143,Sales_Ledger!$A$6:$A$285,0))</f>
        <v>Marwar Agencies, Jaipur</v>
      </c>
      <c r="E143" s="43" t="n">
        <v>207167</v>
      </c>
      <c r="F143" s="5" t="s">
        <v>418</v>
      </c>
      <c r="G143" s="5" t="s">
        <v>687</v>
      </c>
      <c r="H143" s="28" t="n">
        <f aca="false">INDEX(Sales_Ledger!$B$6:$B$285,MATCH(C143,Sales_Ledger!$A$6:$A$285,0))</f>
        <v>46172</v>
      </c>
    </row>
    <row r="144" customFormat="false" ht="15" hidden="false" customHeight="false" outlineLevel="0" collapsed="false">
      <c r="A144" s="5" t="s">
        <v>688</v>
      </c>
      <c r="B144" s="41" t="n">
        <v>46229</v>
      </c>
      <c r="C144" s="5" t="s">
        <v>264</v>
      </c>
      <c r="D144" s="27" t="str">
        <f aca="false">INDEX(Sales_Ledger!$C$6:$C$285,MATCH(C144,Sales_Ledger!$A$6:$A$285,0))</f>
        <v>Narmada Foods, Surat</v>
      </c>
      <c r="E144" s="43" t="n">
        <v>287796</v>
      </c>
      <c r="F144" s="5" t="s">
        <v>413</v>
      </c>
      <c r="G144" s="5" t="s">
        <v>689</v>
      </c>
      <c r="H144" s="28" t="n">
        <f aca="false">INDEX(Sales_Ledger!$B$6:$B$285,MATCH(C144,Sales_Ledger!$A$6:$A$285,0))</f>
        <v>46190</v>
      </c>
    </row>
    <row r="145" customFormat="false" ht="15" hidden="false" customHeight="false" outlineLevel="0" collapsed="false">
      <c r="A145" s="5" t="s">
        <v>690</v>
      </c>
      <c r="B145" s="41" t="n">
        <v>46231</v>
      </c>
      <c r="C145" s="5" t="s">
        <v>230</v>
      </c>
      <c r="D145" s="27" t="str">
        <f aca="false">INDEX(Sales_Ledger!$C$6:$C$285,MATCH(C145,Sales_Ledger!$A$6:$A$285,0))</f>
        <v>Marwar Agencies, Jaipur</v>
      </c>
      <c r="E145" s="43" t="n">
        <v>162976</v>
      </c>
      <c r="F145" s="5" t="s">
        <v>410</v>
      </c>
      <c r="G145" s="5" t="s">
        <v>691</v>
      </c>
      <c r="H145" s="28" t="n">
        <f aca="false">INDEX(Sales_Ledger!$B$6:$B$285,MATCH(C145,Sales_Ledger!$A$6:$A$285,0))</f>
        <v>46162</v>
      </c>
    </row>
    <row r="146" customFormat="false" ht="15" hidden="false" customHeight="false" outlineLevel="0" collapsed="false">
      <c r="A146" s="5" t="s">
        <v>692</v>
      </c>
      <c r="B146" s="41" t="n">
        <v>46234</v>
      </c>
      <c r="C146" s="5" t="s">
        <v>235</v>
      </c>
      <c r="D146" s="27" t="str">
        <f aca="false">INDEX(Sales_Ledger!$C$6:$C$285,MATCH(C146,Sales_Ledger!$A$6:$A$285,0))</f>
        <v>Magadh Agencies, Patna</v>
      </c>
      <c r="E146" s="43" t="n">
        <v>322513</v>
      </c>
      <c r="F146" s="5" t="s">
        <v>418</v>
      </c>
      <c r="G146" s="5" t="s">
        <v>693</v>
      </c>
      <c r="H146" s="28" t="n">
        <f aca="false">INDEX(Sales_Ledger!$B$6:$B$285,MATCH(C146,Sales_Ledger!$A$6:$A$285,0))</f>
        <v>46168</v>
      </c>
    </row>
    <row r="147" customFormat="false" ht="15" hidden="false" customHeight="false" outlineLevel="0" collapsed="false">
      <c r="A147" s="5" t="s">
        <v>694</v>
      </c>
      <c r="B147" s="41" t="n">
        <v>46234</v>
      </c>
      <c r="C147" s="5" t="s">
        <v>257</v>
      </c>
      <c r="D147" s="27" t="str">
        <f aca="false">INDEX(Sales_Ledger!$C$6:$C$285,MATCH(C147,Sales_Ledger!$A$6:$A$285,0))</f>
        <v>Brahmaputra Traders, Guwahati</v>
      </c>
      <c r="E147" s="43" t="n">
        <v>327167</v>
      </c>
      <c r="F147" s="5" t="s">
        <v>418</v>
      </c>
      <c r="G147" s="5" t="s">
        <v>695</v>
      </c>
      <c r="H147" s="28" t="n">
        <f aca="false">INDEX(Sales_Ledger!$B$6:$B$285,MATCH(C147,Sales_Ledger!$A$6:$A$285,0))</f>
        <v>46185</v>
      </c>
    </row>
    <row r="148" customFormat="false" ht="15" hidden="false" customHeight="false" outlineLevel="0" collapsed="false">
      <c r="A148" s="5" t="s">
        <v>696</v>
      </c>
      <c r="B148" s="41" t="n">
        <v>46234</v>
      </c>
      <c r="C148" s="5" t="s">
        <v>265</v>
      </c>
      <c r="D148" s="27" t="str">
        <f aca="false">INDEX(Sales_Ledger!$C$6:$C$285,MATCH(C148,Sales_Ledger!$A$6:$A$285,0))</f>
        <v>Hooghly Foods, Kolkata</v>
      </c>
      <c r="E148" s="43" t="n">
        <v>69629</v>
      </c>
      <c r="F148" s="5" t="s">
        <v>418</v>
      </c>
      <c r="G148" s="5" t="s">
        <v>697</v>
      </c>
      <c r="H148" s="28" t="n">
        <f aca="false">INDEX(Sales_Ledger!$B$6:$B$285,MATCH(C148,Sales_Ledger!$A$6:$A$285,0))</f>
        <v>46191</v>
      </c>
    </row>
    <row r="149" customFormat="false" ht="15" hidden="false" customHeight="false" outlineLevel="0" collapsed="false">
      <c r="A149" s="5" t="s">
        <v>698</v>
      </c>
      <c r="B149" s="41" t="n">
        <v>46234</v>
      </c>
      <c r="C149" s="5" t="s">
        <v>277</v>
      </c>
      <c r="D149" s="27" t="str">
        <f aca="false">INDEX(Sales_Ledger!$C$6:$C$285,MATCH(C149,Sales_Ledger!$A$6:$A$285,0))</f>
        <v>Krishna Distributors, Hyderabad</v>
      </c>
      <c r="E149" s="43" t="n">
        <v>232384</v>
      </c>
      <c r="F149" s="5" t="s">
        <v>413</v>
      </c>
      <c r="G149" s="5" t="s">
        <v>699</v>
      </c>
      <c r="H149" s="28" t="n">
        <f aca="false">INDEX(Sales_Ledger!$B$6:$B$285,MATCH(C149,Sales_Ledger!$A$6:$A$285,0))</f>
        <v>46200</v>
      </c>
    </row>
    <row r="150" customFormat="false" ht="15" hidden="false" customHeight="false" outlineLevel="0" collapsed="false">
      <c r="A150" s="5" t="s">
        <v>700</v>
      </c>
      <c r="B150" s="41" t="n">
        <v>46235</v>
      </c>
      <c r="C150" s="5" t="s">
        <v>263</v>
      </c>
      <c r="D150" s="27" t="str">
        <f aca="false">INDEX(Sales_Ledger!$C$6:$C$285,MATCH(C150,Sales_Ledger!$A$6:$A$285,0))</f>
        <v>Yamuna Traders, Delhi</v>
      </c>
      <c r="E150" s="43" t="n">
        <v>198942</v>
      </c>
      <c r="F150" s="5" t="s">
        <v>410</v>
      </c>
      <c r="G150" s="5" t="s">
        <v>701</v>
      </c>
      <c r="H150" s="28" t="n">
        <f aca="false">INDEX(Sales_Ledger!$B$6:$B$285,MATCH(C150,Sales_Ledger!$A$6:$A$285,0))</f>
        <v>46189</v>
      </c>
    </row>
    <row r="151" customFormat="false" ht="15" hidden="false" customHeight="false" outlineLevel="0" collapsed="false">
      <c r="A151" s="5" t="s">
        <v>702</v>
      </c>
      <c r="B151" s="41" t="n">
        <v>46236</v>
      </c>
      <c r="C151" s="5" t="s">
        <v>237</v>
      </c>
      <c r="D151" s="27" t="str">
        <f aca="false">INDEX(Sales_Ledger!$C$6:$C$285,MATCH(C151,Sales_Ledger!$A$6:$A$285,0))</f>
        <v>Magadh Agencies, Patna</v>
      </c>
      <c r="E151" s="43" t="n">
        <v>179046</v>
      </c>
      <c r="F151" s="5" t="s">
        <v>410</v>
      </c>
      <c r="G151" s="5" t="s">
        <v>703</v>
      </c>
      <c r="H151" s="28" t="n">
        <f aca="false">INDEX(Sales_Ledger!$B$6:$B$285,MATCH(C151,Sales_Ledger!$A$6:$A$285,0))</f>
        <v>46170</v>
      </c>
    </row>
    <row r="152" customFormat="false" ht="15" hidden="false" customHeight="false" outlineLevel="0" collapsed="false">
      <c r="A152" s="5" t="s">
        <v>704</v>
      </c>
      <c r="B152" s="41" t="n">
        <v>46236</v>
      </c>
      <c r="C152" s="5" t="s">
        <v>269</v>
      </c>
      <c r="D152" s="27" t="str">
        <f aca="false">INDEX(Sales_Ledger!$C$6:$C$285,MATCH(C152,Sales_Ledger!$A$6:$A$285,0))</f>
        <v>Cauvery Foods, Bengaluru</v>
      </c>
      <c r="E152" s="43" t="n">
        <v>234078</v>
      </c>
      <c r="F152" s="5" t="s">
        <v>418</v>
      </c>
      <c r="G152" s="5" t="s">
        <v>705</v>
      </c>
      <c r="H152" s="28" t="n">
        <f aca="false">INDEX(Sales_Ledger!$B$6:$B$285,MATCH(C152,Sales_Ledger!$A$6:$A$285,0))</f>
        <v>46193</v>
      </c>
    </row>
    <row r="153" customFormat="false" ht="15" hidden="false" customHeight="false" outlineLevel="0" collapsed="false">
      <c r="A153" s="5" t="s">
        <v>706</v>
      </c>
      <c r="B153" s="41" t="n">
        <v>46237</v>
      </c>
      <c r="C153" s="5" t="s">
        <v>250</v>
      </c>
      <c r="D153" s="27" t="str">
        <f aca="false">INDEX(Sales_Ledger!$C$6:$C$285,MATCH(C153,Sales_Ledger!$A$6:$A$285,0))</f>
        <v>Marwar Agencies, Jaipur</v>
      </c>
      <c r="E153" s="43" t="n">
        <v>293449</v>
      </c>
      <c r="F153" s="5" t="s">
        <v>418</v>
      </c>
      <c r="G153" s="5" t="s">
        <v>707</v>
      </c>
      <c r="H153" s="28" t="n">
        <f aca="false">INDEX(Sales_Ledger!$B$6:$B$285,MATCH(C153,Sales_Ledger!$A$6:$A$285,0))</f>
        <v>46181</v>
      </c>
    </row>
    <row r="154" customFormat="false" ht="15" hidden="false" customHeight="false" outlineLevel="0" collapsed="false">
      <c r="A154" s="5" t="s">
        <v>708</v>
      </c>
      <c r="B154" s="41" t="n">
        <v>46238</v>
      </c>
      <c r="C154" s="5" t="s">
        <v>260</v>
      </c>
      <c r="D154" s="27" t="str">
        <f aca="false">INDEX(Sales_Ledger!$C$6:$C$285,MATCH(C154,Sales_Ledger!$A$6:$A$285,0))</f>
        <v>Doon Distributors, Dehradun</v>
      </c>
      <c r="E154" s="43" t="n">
        <v>110566</v>
      </c>
      <c r="F154" s="5" t="s">
        <v>418</v>
      </c>
      <c r="G154" s="5" t="s">
        <v>709</v>
      </c>
      <c r="H154" s="28" t="n">
        <f aca="false">INDEX(Sales_Ledger!$B$6:$B$285,MATCH(C154,Sales_Ledger!$A$6:$A$285,0))</f>
        <v>46186</v>
      </c>
    </row>
    <row r="155" customFormat="false" ht="15" hidden="false" customHeight="false" outlineLevel="0" collapsed="false">
      <c r="A155" s="5" t="s">
        <v>710</v>
      </c>
      <c r="B155" s="41" t="n">
        <v>46238</v>
      </c>
      <c r="C155" s="5" t="s">
        <v>273</v>
      </c>
      <c r="D155" s="27" t="str">
        <f aca="false">INDEX(Sales_Ledger!$C$6:$C$285,MATCH(C155,Sales_Ledger!$A$6:$A$285,0))</f>
        <v>Doon Distributors, Dehradun</v>
      </c>
      <c r="E155" s="43" t="n">
        <v>145531</v>
      </c>
      <c r="F155" s="5" t="s">
        <v>410</v>
      </c>
      <c r="G155" s="5" t="s">
        <v>711</v>
      </c>
      <c r="H155" s="28" t="n">
        <f aca="false">INDEX(Sales_Ledger!$B$6:$B$285,MATCH(C155,Sales_Ledger!$A$6:$A$285,0))</f>
        <v>46198</v>
      </c>
    </row>
    <row r="156" customFormat="false" ht="15" hidden="false" customHeight="false" outlineLevel="0" collapsed="false">
      <c r="A156" s="5" t="s">
        <v>712</v>
      </c>
      <c r="B156" s="41" t="n">
        <v>46238</v>
      </c>
      <c r="C156" s="5" t="s">
        <v>281</v>
      </c>
      <c r="D156" s="27" t="str">
        <f aca="false">INDEX(Sales_Ledger!$C$6:$C$285,MATCH(C156,Sales_Ledger!$A$6:$A$285,0))</f>
        <v>Cauvery Foods, Bengaluru</v>
      </c>
      <c r="E156" s="43" t="n">
        <v>355859</v>
      </c>
      <c r="F156" s="5" t="s">
        <v>413</v>
      </c>
      <c r="G156" s="5" t="s">
        <v>713</v>
      </c>
      <c r="H156" s="28" t="n">
        <f aca="false">INDEX(Sales_Ledger!$B$6:$B$285,MATCH(C156,Sales_Ledger!$A$6:$A$285,0))</f>
        <v>46202</v>
      </c>
    </row>
    <row r="157" customFormat="false" ht="15" hidden="false" customHeight="false" outlineLevel="0" collapsed="false">
      <c r="A157" s="5" t="s">
        <v>714</v>
      </c>
      <c r="B157" s="41" t="n">
        <v>46239</v>
      </c>
      <c r="C157" s="5" t="s">
        <v>270</v>
      </c>
      <c r="D157" s="27" t="str">
        <f aca="false">INDEX(Sales_Ledger!$C$6:$C$285,MATCH(C157,Sales_Ledger!$A$6:$A$285,0))</f>
        <v>Krishna Distributors, Hyderabad</v>
      </c>
      <c r="E157" s="43" t="n">
        <v>257455</v>
      </c>
      <c r="F157" s="5" t="s">
        <v>410</v>
      </c>
      <c r="G157" s="5" t="s">
        <v>715</v>
      </c>
      <c r="H157" s="28" t="n">
        <f aca="false">INDEX(Sales_Ledger!$B$6:$B$285,MATCH(C157,Sales_Ledger!$A$6:$A$285,0))</f>
        <v>46195</v>
      </c>
    </row>
    <row r="158" customFormat="false" ht="15" hidden="false" customHeight="false" outlineLevel="0" collapsed="false">
      <c r="A158" s="5" t="s">
        <v>716</v>
      </c>
      <c r="B158" s="41" t="n">
        <v>46240</v>
      </c>
      <c r="C158" s="5" t="s">
        <v>271</v>
      </c>
      <c r="D158" s="27" t="str">
        <f aca="false">INDEX(Sales_Ledger!$C$6:$C$285,MATCH(C158,Sales_Ledger!$A$6:$A$285,0))</f>
        <v>Coromandel Traders, Chennai</v>
      </c>
      <c r="E158" s="43" t="n">
        <v>217639</v>
      </c>
      <c r="F158" s="5" t="s">
        <v>413</v>
      </c>
      <c r="G158" s="5" t="s">
        <v>717</v>
      </c>
      <c r="H158" s="28" t="n">
        <f aca="false">INDEX(Sales_Ledger!$B$6:$B$285,MATCH(C158,Sales_Ledger!$A$6:$A$285,0))</f>
        <v>46197</v>
      </c>
    </row>
    <row r="159" customFormat="false" ht="15" hidden="false" customHeight="false" outlineLevel="0" collapsed="false">
      <c r="A159" s="5" t="s">
        <v>718</v>
      </c>
      <c r="B159" s="41" t="n">
        <v>46240</v>
      </c>
      <c r="C159" s="5" t="s">
        <v>285</v>
      </c>
      <c r="D159" s="27" t="str">
        <f aca="false">INDEX(Sales_Ledger!$C$6:$C$285,MATCH(C159,Sales_Ledger!$A$6:$A$285,0))</f>
        <v>Krishna Distributors, Hyderabad</v>
      </c>
      <c r="E159" s="43" t="n">
        <v>429166</v>
      </c>
      <c r="F159" s="5" t="s">
        <v>418</v>
      </c>
      <c r="G159" s="5" t="s">
        <v>719</v>
      </c>
      <c r="H159" s="28" t="n">
        <f aca="false">INDEX(Sales_Ledger!$B$6:$B$285,MATCH(C159,Sales_Ledger!$A$6:$A$285,0))</f>
        <v>46205</v>
      </c>
    </row>
    <row r="160" customFormat="false" ht="15" hidden="false" customHeight="false" outlineLevel="0" collapsed="false">
      <c r="A160" s="5" t="s">
        <v>720</v>
      </c>
      <c r="B160" s="41" t="n">
        <v>46241</v>
      </c>
      <c r="C160" s="5" t="s">
        <v>244</v>
      </c>
      <c r="D160" s="27" t="str">
        <f aca="false">INDEX(Sales_Ledger!$C$6:$C$285,MATCH(C160,Sales_Ledger!$A$6:$A$285,0))</f>
        <v>Magadh Agencies, Patna</v>
      </c>
      <c r="E160" s="43" t="n">
        <v>270299</v>
      </c>
      <c r="F160" s="5" t="s">
        <v>413</v>
      </c>
      <c r="G160" s="5" t="s">
        <v>721</v>
      </c>
      <c r="H160" s="28" t="n">
        <f aca="false">INDEX(Sales_Ledger!$B$6:$B$285,MATCH(C160,Sales_Ledger!$A$6:$A$285,0))</f>
        <v>46174</v>
      </c>
    </row>
    <row r="161" customFormat="false" ht="15" hidden="false" customHeight="false" outlineLevel="0" collapsed="false">
      <c r="A161" s="5" t="s">
        <v>722</v>
      </c>
      <c r="B161" s="41" t="n">
        <v>46242</v>
      </c>
      <c r="C161" s="5" t="s">
        <v>287</v>
      </c>
      <c r="D161" s="27" t="str">
        <f aca="false">INDEX(Sales_Ledger!$C$6:$C$285,MATCH(C161,Sales_Ledger!$A$6:$A$285,0))</f>
        <v>Hooghly Foods, Kolkata</v>
      </c>
      <c r="E161" s="43" t="n">
        <v>417652</v>
      </c>
      <c r="F161" s="5" t="s">
        <v>418</v>
      </c>
      <c r="G161" s="5" t="s">
        <v>723</v>
      </c>
      <c r="H161" s="28" t="n">
        <f aca="false">INDEX(Sales_Ledger!$B$6:$B$285,MATCH(C161,Sales_Ledger!$A$6:$A$285,0))</f>
        <v>46207</v>
      </c>
    </row>
    <row r="162" customFormat="false" ht="15" hidden="false" customHeight="false" outlineLevel="0" collapsed="false">
      <c r="A162" s="5" t="s">
        <v>724</v>
      </c>
      <c r="B162" s="41" t="n">
        <v>46244</v>
      </c>
      <c r="C162" s="5" t="s">
        <v>230</v>
      </c>
      <c r="D162" s="27" t="str">
        <f aca="false">INDEX(Sales_Ledger!$C$6:$C$285,MATCH(C162,Sales_Ledger!$A$6:$A$285,0))</f>
        <v>Marwar Agencies, Jaipur</v>
      </c>
      <c r="E162" s="43" t="n">
        <v>103887</v>
      </c>
      <c r="F162" s="5" t="s">
        <v>410</v>
      </c>
      <c r="G162" s="5" t="s">
        <v>725</v>
      </c>
      <c r="H162" s="28" t="n">
        <f aca="false">INDEX(Sales_Ledger!$B$6:$B$285,MATCH(C162,Sales_Ledger!$A$6:$A$285,0))</f>
        <v>46162</v>
      </c>
    </row>
    <row r="163" customFormat="false" ht="15" hidden="false" customHeight="false" outlineLevel="0" collapsed="false">
      <c r="A163" s="5" t="s">
        <v>726</v>
      </c>
      <c r="B163" s="41" t="n">
        <v>46244</v>
      </c>
      <c r="C163" s="5" t="s">
        <v>288</v>
      </c>
      <c r="D163" s="27" t="str">
        <f aca="false">INDEX(Sales_Ledger!$C$6:$C$285,MATCH(C163,Sales_Ledger!$A$6:$A$285,0))</f>
        <v>Narmada Foods, Surat</v>
      </c>
      <c r="E163" s="43" t="n">
        <v>390829</v>
      </c>
      <c r="F163" s="5" t="s">
        <v>410</v>
      </c>
      <c r="G163" s="5" t="s">
        <v>727</v>
      </c>
      <c r="H163" s="28" t="n">
        <f aca="false">INDEX(Sales_Ledger!$B$6:$B$285,MATCH(C163,Sales_Ledger!$A$6:$A$285,0))</f>
        <v>46207</v>
      </c>
    </row>
    <row r="164" customFormat="false" ht="15" hidden="false" customHeight="false" outlineLevel="0" collapsed="false">
      <c r="A164" s="5" t="s">
        <v>728</v>
      </c>
      <c r="B164" s="41" t="n">
        <v>46244</v>
      </c>
      <c r="C164" s="5" t="s">
        <v>295</v>
      </c>
      <c r="D164" s="27" t="str">
        <f aca="false">INDEX(Sales_Ledger!$C$6:$C$285,MATCH(C164,Sales_Ledger!$A$6:$A$285,0))</f>
        <v>Yamuna Traders, Delhi</v>
      </c>
      <c r="E164" s="43" t="n">
        <v>340421</v>
      </c>
      <c r="F164" s="5" t="s">
        <v>413</v>
      </c>
      <c r="G164" s="5" t="s">
        <v>729</v>
      </c>
      <c r="H164" s="28" t="n">
        <f aca="false">INDEX(Sales_Ledger!$B$6:$B$285,MATCH(C164,Sales_Ledger!$A$6:$A$285,0))</f>
        <v>46213</v>
      </c>
    </row>
    <row r="165" customFormat="false" ht="15" hidden="false" customHeight="false" outlineLevel="0" collapsed="false">
      <c r="A165" s="5" t="s">
        <v>730</v>
      </c>
      <c r="B165" s="41" t="n">
        <v>46246</v>
      </c>
      <c r="C165" s="5" t="s">
        <v>282</v>
      </c>
      <c r="D165" s="27" t="str">
        <f aca="false">INDEX(Sales_Ledger!$C$6:$C$285,MATCH(C165,Sales_Ledger!$A$6:$A$285,0))</f>
        <v>Narmada Foods, Surat</v>
      </c>
      <c r="E165" s="43" t="n">
        <v>197046</v>
      </c>
      <c r="F165" s="5" t="s">
        <v>410</v>
      </c>
      <c r="G165" s="5" t="s">
        <v>731</v>
      </c>
      <c r="H165" s="28" t="n">
        <f aca="false">INDEX(Sales_Ledger!$B$6:$B$285,MATCH(C165,Sales_Ledger!$A$6:$A$285,0))</f>
        <v>46203</v>
      </c>
    </row>
    <row r="166" customFormat="false" ht="15" hidden="false" customHeight="false" outlineLevel="0" collapsed="false">
      <c r="A166" s="5" t="s">
        <v>732</v>
      </c>
      <c r="B166" s="41" t="n">
        <v>46246</v>
      </c>
      <c r="C166" s="5" t="s">
        <v>291</v>
      </c>
      <c r="D166" s="27" t="str">
        <f aca="false">INDEX(Sales_Ledger!$C$6:$C$285,MATCH(C166,Sales_Ledger!$A$6:$A$285,0))</f>
        <v>Narmada Foods, Surat</v>
      </c>
      <c r="E166" s="43" t="n">
        <v>207871</v>
      </c>
      <c r="F166" s="5" t="s">
        <v>410</v>
      </c>
      <c r="G166" s="5" t="s">
        <v>733</v>
      </c>
      <c r="H166" s="28" t="n">
        <f aca="false">INDEX(Sales_Ledger!$B$6:$B$285,MATCH(C166,Sales_Ledger!$A$6:$A$285,0))</f>
        <v>46210</v>
      </c>
    </row>
    <row r="167" customFormat="false" ht="15" hidden="false" customHeight="false" outlineLevel="0" collapsed="false">
      <c r="A167" s="5" t="s">
        <v>734</v>
      </c>
      <c r="B167" s="41" t="n">
        <v>46248</v>
      </c>
      <c r="C167" s="5" t="s">
        <v>261</v>
      </c>
      <c r="D167" s="27" t="str">
        <f aca="false">INDEX(Sales_Ledger!$C$6:$C$285,MATCH(C167,Sales_Ledger!$A$6:$A$285,0))</f>
        <v>Krishna Distributors, Hyderabad</v>
      </c>
      <c r="E167" s="43" t="n">
        <v>156283</v>
      </c>
      <c r="F167" s="5" t="s">
        <v>410</v>
      </c>
      <c r="G167" s="5" t="s">
        <v>735</v>
      </c>
      <c r="H167" s="28" t="n">
        <f aca="false">INDEX(Sales_Ledger!$B$6:$B$285,MATCH(C167,Sales_Ledger!$A$6:$A$285,0))</f>
        <v>46187</v>
      </c>
    </row>
    <row r="168" customFormat="false" ht="15" hidden="false" customHeight="false" outlineLevel="0" collapsed="false">
      <c r="A168" s="5" t="s">
        <v>736</v>
      </c>
      <c r="B168" s="41" t="n">
        <v>46249</v>
      </c>
      <c r="C168" s="5" t="s">
        <v>218</v>
      </c>
      <c r="D168" s="27" t="str">
        <f aca="false">INDEX(Sales_Ledger!$C$6:$C$285,MATCH(C168,Sales_Ledger!$A$6:$A$285,0))</f>
        <v>Awadh Agencies, Lucknow</v>
      </c>
      <c r="E168" s="43" t="n">
        <v>212053</v>
      </c>
      <c r="F168" s="5" t="s">
        <v>418</v>
      </c>
      <c r="G168" s="5" t="s">
        <v>737</v>
      </c>
      <c r="H168" s="28" t="n">
        <f aca="false">INDEX(Sales_Ledger!$B$6:$B$285,MATCH(C168,Sales_Ledger!$A$6:$A$285,0))</f>
        <v>46155</v>
      </c>
    </row>
    <row r="169" customFormat="false" ht="15" hidden="false" customHeight="false" outlineLevel="0" collapsed="false">
      <c r="A169" s="5" t="s">
        <v>738</v>
      </c>
      <c r="B169" s="41" t="n">
        <v>46249</v>
      </c>
      <c r="C169" s="5" t="s">
        <v>274</v>
      </c>
      <c r="D169" s="27" t="str">
        <f aca="false">INDEX(Sales_Ledger!$C$6:$C$285,MATCH(C169,Sales_Ledger!$A$6:$A$285,0))</f>
        <v>Brahmaputra Traders, Guwahati</v>
      </c>
      <c r="E169" s="43" t="n">
        <v>313048</v>
      </c>
      <c r="F169" s="5" t="s">
        <v>410</v>
      </c>
      <c r="G169" s="5" t="s">
        <v>739</v>
      </c>
      <c r="H169" s="28" t="n">
        <f aca="false">INDEX(Sales_Ledger!$B$6:$B$285,MATCH(C169,Sales_Ledger!$A$6:$A$285,0))</f>
        <v>46199</v>
      </c>
    </row>
    <row r="170" customFormat="false" ht="15" hidden="false" customHeight="false" outlineLevel="0" collapsed="false">
      <c r="A170" s="5" t="s">
        <v>740</v>
      </c>
      <c r="B170" s="41" t="n">
        <v>46249</v>
      </c>
      <c r="C170" s="5" t="s">
        <v>283</v>
      </c>
      <c r="D170" s="27" t="str">
        <f aca="false">INDEX(Sales_Ledger!$C$6:$C$285,MATCH(C170,Sales_Ledger!$A$6:$A$285,0))</f>
        <v>Doon Distributors, Dehradun</v>
      </c>
      <c r="E170" s="43" t="n">
        <v>57935</v>
      </c>
      <c r="F170" s="5" t="s">
        <v>410</v>
      </c>
      <c r="G170" s="5" t="s">
        <v>741</v>
      </c>
      <c r="H170" s="28" t="n">
        <f aca="false">INDEX(Sales_Ledger!$B$6:$B$285,MATCH(C170,Sales_Ledger!$A$6:$A$285,0))</f>
        <v>46204</v>
      </c>
    </row>
    <row r="171" customFormat="false" ht="15" hidden="false" customHeight="false" outlineLevel="0" collapsed="false">
      <c r="A171" s="5" t="s">
        <v>742</v>
      </c>
      <c r="B171" s="41" t="n">
        <v>46250</v>
      </c>
      <c r="C171" s="5" t="s">
        <v>289</v>
      </c>
      <c r="D171" s="27" t="str">
        <f aca="false">INDEX(Sales_Ledger!$C$6:$C$285,MATCH(C171,Sales_Ledger!$A$6:$A$285,0))</f>
        <v>Coromandel Traders, Chennai</v>
      </c>
      <c r="E171" s="43" t="n">
        <v>261571</v>
      </c>
      <c r="F171" s="5" t="s">
        <v>410</v>
      </c>
      <c r="G171" s="5" t="s">
        <v>743</v>
      </c>
      <c r="H171" s="28" t="n">
        <f aca="false">INDEX(Sales_Ledger!$B$6:$B$285,MATCH(C171,Sales_Ledger!$A$6:$A$285,0))</f>
        <v>46209</v>
      </c>
    </row>
    <row r="172" customFormat="false" ht="15" hidden="false" customHeight="false" outlineLevel="0" collapsed="false">
      <c r="A172" s="5" t="s">
        <v>744</v>
      </c>
      <c r="B172" s="41" t="n">
        <v>46250</v>
      </c>
      <c r="C172" s="5" t="s">
        <v>293</v>
      </c>
      <c r="D172" s="27" t="str">
        <f aca="false">INDEX(Sales_Ledger!$C$6:$C$285,MATCH(C172,Sales_Ledger!$A$6:$A$285,0))</f>
        <v>Konkan Distributors, Mumbai</v>
      </c>
      <c r="E172" s="43" t="n">
        <v>267121</v>
      </c>
      <c r="F172" s="5" t="s">
        <v>410</v>
      </c>
      <c r="G172" s="5" t="s">
        <v>745</v>
      </c>
      <c r="H172" s="28" t="n">
        <f aca="false">INDEX(Sales_Ledger!$B$6:$B$285,MATCH(C172,Sales_Ledger!$A$6:$A$285,0))</f>
        <v>46212</v>
      </c>
    </row>
    <row r="173" customFormat="false" ht="15" hidden="false" customHeight="false" outlineLevel="0" collapsed="false">
      <c r="A173" s="5" t="s">
        <v>746</v>
      </c>
      <c r="B173" s="41" t="n">
        <v>46252</v>
      </c>
      <c r="C173" s="5" t="s">
        <v>297</v>
      </c>
      <c r="D173" s="27" t="str">
        <f aca="false">INDEX(Sales_Ledger!$C$6:$C$285,MATCH(C173,Sales_Ledger!$A$6:$A$285,0))</f>
        <v>Yamuna Traders, Delhi</v>
      </c>
      <c r="E173" s="43" t="n">
        <v>151164</v>
      </c>
      <c r="F173" s="5" t="s">
        <v>410</v>
      </c>
      <c r="G173" s="5" t="s">
        <v>747</v>
      </c>
      <c r="H173" s="28" t="n">
        <f aca="false">INDEX(Sales_Ledger!$B$6:$B$285,MATCH(C173,Sales_Ledger!$A$6:$A$285,0))</f>
        <v>46216</v>
      </c>
    </row>
    <row r="174" customFormat="false" ht="15" hidden="false" customHeight="false" outlineLevel="0" collapsed="false">
      <c r="A174" s="5" t="s">
        <v>748</v>
      </c>
      <c r="B174" s="41" t="n">
        <v>46253</v>
      </c>
      <c r="C174" s="5" t="s">
        <v>276</v>
      </c>
      <c r="D174" s="27" t="str">
        <f aca="false">INDEX(Sales_Ledger!$C$6:$C$285,MATCH(C174,Sales_Ledger!$A$6:$A$285,0))</f>
        <v>Doon Distributors, Dehradun</v>
      </c>
      <c r="E174" s="43" t="n">
        <v>262456</v>
      </c>
      <c r="F174" s="5" t="s">
        <v>410</v>
      </c>
      <c r="G174" s="5" t="s">
        <v>749</v>
      </c>
      <c r="H174" s="28" t="n">
        <f aca="false">INDEX(Sales_Ledger!$B$6:$B$285,MATCH(C174,Sales_Ledger!$A$6:$A$285,0))</f>
        <v>46199</v>
      </c>
    </row>
    <row r="175" customFormat="false" ht="15" hidden="false" customHeight="false" outlineLevel="0" collapsed="false">
      <c r="A175" s="5" t="s">
        <v>750</v>
      </c>
      <c r="B175" s="41" t="n">
        <v>46253</v>
      </c>
      <c r="C175" s="5" t="s">
        <v>290</v>
      </c>
      <c r="D175" s="27" t="str">
        <f aca="false">INDEX(Sales_Ledger!$C$6:$C$285,MATCH(C175,Sales_Ledger!$A$6:$A$285,0))</f>
        <v>Satluj Foods, Ludhiana</v>
      </c>
      <c r="E175" s="43" t="n">
        <v>257217</v>
      </c>
      <c r="F175" s="5" t="s">
        <v>410</v>
      </c>
      <c r="G175" s="5" t="s">
        <v>751</v>
      </c>
      <c r="H175" s="28" t="n">
        <f aca="false">INDEX(Sales_Ledger!$B$6:$B$285,MATCH(C175,Sales_Ledger!$A$6:$A$285,0))</f>
        <v>46209</v>
      </c>
    </row>
    <row r="176" customFormat="false" ht="15" hidden="false" customHeight="false" outlineLevel="0" collapsed="false">
      <c r="A176" s="5" t="s">
        <v>752</v>
      </c>
      <c r="B176" s="41" t="n">
        <v>46254</v>
      </c>
      <c r="C176" s="5" t="s">
        <v>280</v>
      </c>
      <c r="D176" s="27" t="str">
        <f aca="false">INDEX(Sales_Ledger!$C$6:$C$285,MATCH(C176,Sales_Ledger!$A$6:$A$285,0))</f>
        <v>Brahmaputra Traders, Guwahati</v>
      </c>
      <c r="E176" s="43" t="n">
        <v>223793</v>
      </c>
      <c r="F176" s="5" t="s">
        <v>410</v>
      </c>
      <c r="G176" s="5" t="s">
        <v>753</v>
      </c>
      <c r="H176" s="28" t="n">
        <f aca="false">INDEX(Sales_Ledger!$B$6:$B$285,MATCH(C176,Sales_Ledger!$A$6:$A$285,0))</f>
        <v>46202</v>
      </c>
    </row>
    <row r="177" customFormat="false" ht="15" hidden="false" customHeight="false" outlineLevel="0" collapsed="false">
      <c r="A177" s="5" t="s">
        <v>754</v>
      </c>
      <c r="B177" s="41" t="n">
        <v>46255</v>
      </c>
      <c r="C177" s="5" t="s">
        <v>273</v>
      </c>
      <c r="D177" s="27" t="str">
        <f aca="false">INDEX(Sales_Ledger!$C$6:$C$285,MATCH(C177,Sales_Ledger!$A$6:$A$285,0))</f>
        <v>Doon Distributors, Dehradun</v>
      </c>
      <c r="E177" s="43" t="n">
        <v>127117</v>
      </c>
      <c r="F177" s="5" t="s">
        <v>410</v>
      </c>
      <c r="G177" s="5" t="s">
        <v>755</v>
      </c>
      <c r="H177" s="28" t="n">
        <f aca="false">INDEX(Sales_Ledger!$B$6:$B$285,MATCH(C177,Sales_Ledger!$A$6:$A$285,0))</f>
        <v>46198</v>
      </c>
    </row>
    <row r="178" customFormat="false" ht="15" hidden="false" customHeight="false" outlineLevel="0" collapsed="false">
      <c r="A178" s="5" t="s">
        <v>756</v>
      </c>
      <c r="B178" s="41" t="n">
        <v>46255</v>
      </c>
      <c r="C178" s="5" t="s">
        <v>277</v>
      </c>
      <c r="D178" s="27" t="str">
        <f aca="false">INDEX(Sales_Ledger!$C$6:$C$285,MATCH(C178,Sales_Ledger!$A$6:$A$285,0))</f>
        <v>Krishna Distributors, Hyderabad</v>
      </c>
      <c r="E178" s="43" t="n">
        <v>216267</v>
      </c>
      <c r="F178" s="5" t="s">
        <v>410</v>
      </c>
      <c r="G178" s="5" t="s">
        <v>757</v>
      </c>
      <c r="H178" s="28" t="n">
        <f aca="false">INDEX(Sales_Ledger!$B$6:$B$285,MATCH(C178,Sales_Ledger!$A$6:$A$285,0))</f>
        <v>46200</v>
      </c>
    </row>
    <row r="179" customFormat="false" ht="15" hidden="false" customHeight="false" outlineLevel="0" collapsed="false">
      <c r="A179" s="5" t="s">
        <v>758</v>
      </c>
      <c r="B179" s="41" t="n">
        <v>46256</v>
      </c>
      <c r="C179" s="5" t="s">
        <v>254</v>
      </c>
      <c r="D179" s="27" t="str">
        <f aca="false">INDEX(Sales_Ledger!$C$6:$C$285,MATCH(C179,Sales_Ledger!$A$6:$A$285,0))</f>
        <v>Periyar Agencies, Kochi</v>
      </c>
      <c r="E179" s="43" t="n">
        <v>145836</v>
      </c>
      <c r="F179" s="5" t="s">
        <v>410</v>
      </c>
      <c r="G179" s="5" t="s">
        <v>759</v>
      </c>
      <c r="H179" s="28" t="n">
        <f aca="false">INDEX(Sales_Ledger!$B$6:$B$285,MATCH(C179,Sales_Ledger!$A$6:$A$285,0))</f>
        <v>46183</v>
      </c>
    </row>
    <row r="180" customFormat="false" ht="15" hidden="false" customHeight="false" outlineLevel="0" collapsed="false">
      <c r="A180" s="5" t="s">
        <v>760</v>
      </c>
      <c r="B180" s="41" t="n">
        <v>46256</v>
      </c>
      <c r="C180" s="5" t="s">
        <v>292</v>
      </c>
      <c r="D180" s="27" t="str">
        <f aca="false">INDEX(Sales_Ledger!$C$6:$C$285,MATCH(C180,Sales_Ledger!$A$6:$A$285,0))</f>
        <v>Coromandel Traders, Chennai</v>
      </c>
      <c r="E180" s="43" t="n">
        <v>141379</v>
      </c>
      <c r="F180" s="5" t="s">
        <v>410</v>
      </c>
      <c r="G180" s="5" t="s">
        <v>761</v>
      </c>
      <c r="H180" s="28" t="n">
        <f aca="false">INDEX(Sales_Ledger!$B$6:$B$285,MATCH(C180,Sales_Ledger!$A$6:$A$285,0))</f>
        <v>46211</v>
      </c>
    </row>
    <row r="181" customFormat="false" ht="15" hidden="false" customHeight="false" outlineLevel="0" collapsed="false">
      <c r="A181" s="5" t="s">
        <v>762</v>
      </c>
      <c r="B181" s="41" t="n">
        <v>46256</v>
      </c>
      <c r="C181" s="5" t="s">
        <v>301</v>
      </c>
      <c r="D181" s="27" t="str">
        <f aca="false">INDEX(Sales_Ledger!$C$6:$C$285,MATCH(C181,Sales_Ledger!$A$6:$A$285,0))</f>
        <v>Konkan Distributors, Mumbai</v>
      </c>
      <c r="E181" s="43" t="n">
        <v>160071</v>
      </c>
      <c r="F181" s="5" t="s">
        <v>418</v>
      </c>
      <c r="G181" s="5" t="s">
        <v>763</v>
      </c>
      <c r="H181" s="28" t="n">
        <f aca="false">INDEX(Sales_Ledger!$B$6:$B$285,MATCH(C181,Sales_Ledger!$A$6:$A$285,0))</f>
        <v>46218</v>
      </c>
    </row>
    <row r="182" customFormat="false" ht="15" hidden="false" customHeight="false" outlineLevel="0" collapsed="false">
      <c r="A182" s="5" t="s">
        <v>764</v>
      </c>
      <c r="B182" s="41" t="n">
        <v>46256</v>
      </c>
      <c r="C182" s="5" t="s">
        <v>306</v>
      </c>
      <c r="D182" s="27" t="str">
        <f aca="false">INDEX(Sales_Ledger!$C$6:$C$285,MATCH(C182,Sales_Ledger!$A$6:$A$285,0))</f>
        <v>Hooghly Foods, Kolkata</v>
      </c>
      <c r="E182" s="43" t="n">
        <v>419961</v>
      </c>
      <c r="F182" s="5" t="s">
        <v>418</v>
      </c>
      <c r="G182" s="5" t="s">
        <v>765</v>
      </c>
      <c r="H182" s="28" t="n">
        <f aca="false">INDEX(Sales_Ledger!$B$6:$B$285,MATCH(C182,Sales_Ledger!$A$6:$A$285,0))</f>
        <v>46221</v>
      </c>
    </row>
    <row r="183" customFormat="false" ht="15" hidden="false" customHeight="false" outlineLevel="0" collapsed="false">
      <c r="A183" s="5" t="s">
        <v>766</v>
      </c>
      <c r="B183" s="41" t="n">
        <v>46259</v>
      </c>
      <c r="C183" s="5" t="s">
        <v>298</v>
      </c>
      <c r="D183" s="27" t="str">
        <f aca="false">INDEX(Sales_Ledger!$C$6:$C$285,MATCH(C183,Sales_Ledger!$A$6:$A$285,0))</f>
        <v>Yamuna Traders, Delhi</v>
      </c>
      <c r="E183" s="43" t="n">
        <v>513625</v>
      </c>
      <c r="F183" s="5" t="s">
        <v>418</v>
      </c>
      <c r="G183" s="5" t="s">
        <v>767</v>
      </c>
      <c r="H183" s="28" t="n">
        <f aca="false">INDEX(Sales_Ledger!$B$6:$B$285,MATCH(C183,Sales_Ledger!$A$6:$A$285,0))</f>
        <v>46217</v>
      </c>
    </row>
    <row r="184" customFormat="false" ht="15" hidden="false" customHeight="false" outlineLevel="0" collapsed="false">
      <c r="A184" s="5" t="s">
        <v>768</v>
      </c>
      <c r="B184" s="41" t="n">
        <v>46260</v>
      </c>
      <c r="C184" s="5" t="s">
        <v>266</v>
      </c>
      <c r="D184" s="27" t="str">
        <f aca="false">INDEX(Sales_Ledger!$C$6:$C$285,MATCH(C184,Sales_Ledger!$A$6:$A$285,0))</f>
        <v>Magadh Agencies, Patna</v>
      </c>
      <c r="E184" s="43" t="n">
        <v>264413</v>
      </c>
      <c r="F184" s="5" t="s">
        <v>418</v>
      </c>
      <c r="G184" s="5" t="s">
        <v>769</v>
      </c>
      <c r="H184" s="28" t="n">
        <f aca="false">INDEX(Sales_Ledger!$B$6:$B$285,MATCH(C184,Sales_Ledger!$A$6:$A$285,0))</f>
        <v>46191</v>
      </c>
    </row>
    <row r="185" customFormat="false" ht="15" hidden="false" customHeight="false" outlineLevel="0" collapsed="false">
      <c r="A185" s="5" t="s">
        <v>770</v>
      </c>
      <c r="B185" s="41" t="n">
        <v>46260</v>
      </c>
      <c r="C185" s="5" t="s">
        <v>308</v>
      </c>
      <c r="D185" s="27" t="str">
        <f aca="false">INDEX(Sales_Ledger!$C$6:$C$285,MATCH(C185,Sales_Ledger!$A$6:$A$285,0))</f>
        <v>Narmada Foods, Surat</v>
      </c>
      <c r="E185" s="43" t="n">
        <v>45312</v>
      </c>
      <c r="F185" s="5" t="s">
        <v>418</v>
      </c>
      <c r="G185" s="5" t="s">
        <v>771</v>
      </c>
      <c r="H185" s="28" t="n">
        <f aca="false">INDEX(Sales_Ledger!$B$6:$B$285,MATCH(C185,Sales_Ledger!$A$6:$A$285,0))</f>
        <v>46223</v>
      </c>
    </row>
    <row r="186" customFormat="false" ht="15" hidden="false" customHeight="false" outlineLevel="0" collapsed="false">
      <c r="A186" s="5" t="s">
        <v>772</v>
      </c>
      <c r="B186" s="41" t="n">
        <v>46261</v>
      </c>
      <c r="C186" s="5" t="s">
        <v>302</v>
      </c>
      <c r="D186" s="27" t="str">
        <f aca="false">INDEX(Sales_Ledger!$C$6:$C$285,MATCH(C186,Sales_Ledger!$A$6:$A$285,0))</f>
        <v>Hooghly Foods, Kolkata</v>
      </c>
      <c r="E186" s="43" t="n">
        <v>239093</v>
      </c>
      <c r="F186" s="5" t="s">
        <v>410</v>
      </c>
      <c r="G186" s="5" t="s">
        <v>773</v>
      </c>
      <c r="H186" s="28" t="n">
        <f aca="false">INDEX(Sales_Ledger!$B$6:$B$285,MATCH(C186,Sales_Ledger!$A$6:$A$285,0))</f>
        <v>46219</v>
      </c>
    </row>
    <row r="187" customFormat="false" ht="15" hidden="false" customHeight="false" outlineLevel="0" collapsed="false">
      <c r="A187" s="5" t="s">
        <v>774</v>
      </c>
      <c r="B187" s="41" t="n">
        <v>46261</v>
      </c>
      <c r="C187" s="5" t="s">
        <v>303</v>
      </c>
      <c r="D187" s="27" t="str">
        <f aca="false">INDEX(Sales_Ledger!$C$6:$C$285,MATCH(C187,Sales_Ledger!$A$6:$A$285,0))</f>
        <v>Yamuna Traders, Delhi</v>
      </c>
      <c r="E187" s="43" t="n">
        <v>525949</v>
      </c>
      <c r="F187" s="5" t="s">
        <v>418</v>
      </c>
      <c r="G187" s="5" t="s">
        <v>775</v>
      </c>
      <c r="H187" s="28" t="n">
        <f aca="false">INDEX(Sales_Ledger!$B$6:$B$285,MATCH(C187,Sales_Ledger!$A$6:$A$285,0))</f>
        <v>46219</v>
      </c>
    </row>
    <row r="188" customFormat="false" ht="15" hidden="false" customHeight="false" outlineLevel="0" collapsed="false">
      <c r="A188" s="5" t="s">
        <v>776</v>
      </c>
      <c r="B188" s="41" t="n">
        <v>46262</v>
      </c>
      <c r="C188" s="5" t="s">
        <v>316</v>
      </c>
      <c r="D188" s="27" t="str">
        <f aca="false">INDEX(Sales_Ledger!$C$6:$C$285,MATCH(C188,Sales_Ledger!$A$6:$A$285,0))</f>
        <v>Hooghly Foods, Kolkata</v>
      </c>
      <c r="E188" s="43" t="n">
        <v>275724</v>
      </c>
      <c r="F188" s="5" t="s">
        <v>410</v>
      </c>
      <c r="G188" s="5" t="s">
        <v>777</v>
      </c>
      <c r="H188" s="28" t="n">
        <f aca="false">INDEX(Sales_Ledger!$B$6:$B$285,MATCH(C188,Sales_Ledger!$A$6:$A$285,0))</f>
        <v>46230</v>
      </c>
    </row>
    <row r="189" customFormat="false" ht="15" hidden="false" customHeight="false" outlineLevel="0" collapsed="false">
      <c r="A189" s="5" t="s">
        <v>778</v>
      </c>
      <c r="B189" s="41" t="n">
        <v>46263</v>
      </c>
      <c r="C189" s="5" t="s">
        <v>300</v>
      </c>
      <c r="D189" s="27" t="str">
        <f aca="false">INDEX(Sales_Ledger!$C$6:$C$285,MATCH(C189,Sales_Ledger!$A$6:$A$285,0))</f>
        <v>Konkan Distributors, Mumbai</v>
      </c>
      <c r="E189" s="43" t="n">
        <v>487180</v>
      </c>
      <c r="F189" s="5" t="s">
        <v>413</v>
      </c>
      <c r="G189" s="5" t="s">
        <v>779</v>
      </c>
      <c r="H189" s="28" t="n">
        <f aca="false">INDEX(Sales_Ledger!$B$6:$B$285,MATCH(C189,Sales_Ledger!$A$6:$A$285,0))</f>
        <v>46218</v>
      </c>
    </row>
    <row r="190" customFormat="false" ht="15" hidden="false" customHeight="false" outlineLevel="0" collapsed="false">
      <c r="A190" s="5" t="s">
        <v>780</v>
      </c>
      <c r="B190" s="41" t="n">
        <v>46263</v>
      </c>
      <c r="C190" s="5" t="s">
        <v>312</v>
      </c>
      <c r="D190" s="27" t="str">
        <f aca="false">INDEX(Sales_Ledger!$C$6:$C$285,MATCH(C190,Sales_Ledger!$A$6:$A$285,0))</f>
        <v>Narmada Foods, Surat</v>
      </c>
      <c r="E190" s="43" t="n">
        <v>77375</v>
      </c>
      <c r="F190" s="5" t="s">
        <v>410</v>
      </c>
      <c r="G190" s="5" t="s">
        <v>781</v>
      </c>
      <c r="H190" s="28" t="n">
        <f aca="false">INDEX(Sales_Ledger!$B$6:$B$285,MATCH(C190,Sales_Ledger!$A$6:$A$285,0))</f>
        <v>46226</v>
      </c>
    </row>
    <row r="191" customFormat="false" ht="15" hidden="false" customHeight="false" outlineLevel="0" collapsed="false">
      <c r="A191" s="5" t="s">
        <v>782</v>
      </c>
      <c r="B191" s="41" t="n">
        <v>46264</v>
      </c>
      <c r="C191" s="5" t="s">
        <v>305</v>
      </c>
      <c r="D191" s="27" t="str">
        <f aca="false">INDEX(Sales_Ledger!$C$6:$C$285,MATCH(C191,Sales_Ledger!$A$6:$A$285,0))</f>
        <v>Krishna Distributors, Hyderabad</v>
      </c>
      <c r="E191" s="43" t="n">
        <v>399984</v>
      </c>
      <c r="F191" s="5" t="s">
        <v>418</v>
      </c>
      <c r="G191" s="5" t="s">
        <v>783</v>
      </c>
      <c r="H191" s="28" t="n">
        <f aca="false">INDEX(Sales_Ledger!$B$6:$B$285,MATCH(C191,Sales_Ledger!$A$6:$A$285,0))</f>
        <v>46220</v>
      </c>
    </row>
    <row r="192" customFormat="false" ht="15" hidden="false" customHeight="false" outlineLevel="0" collapsed="false">
      <c r="A192" s="5" t="s">
        <v>784</v>
      </c>
      <c r="B192" s="41" t="n">
        <v>46264</v>
      </c>
      <c r="C192" s="5" t="s">
        <v>315</v>
      </c>
      <c r="D192" s="27" t="str">
        <f aca="false">INDEX(Sales_Ledger!$C$6:$C$285,MATCH(C192,Sales_Ledger!$A$6:$A$285,0))</f>
        <v>Krishna Distributors, Hyderabad</v>
      </c>
      <c r="E192" s="43" t="n">
        <v>227449</v>
      </c>
      <c r="F192" s="5" t="s">
        <v>410</v>
      </c>
      <c r="G192" s="5" t="s">
        <v>785</v>
      </c>
      <c r="H192" s="28" t="n">
        <f aca="false">INDEX(Sales_Ledger!$B$6:$B$285,MATCH(C192,Sales_Ledger!$A$6:$A$285,0))</f>
        <v>46230</v>
      </c>
    </row>
    <row r="193" customFormat="false" ht="15" hidden="false" customHeight="false" outlineLevel="0" collapsed="false">
      <c r="A193" s="5" t="s">
        <v>786</v>
      </c>
      <c r="B193" s="41" t="n">
        <v>46265</v>
      </c>
      <c r="C193" s="5" t="s">
        <v>318</v>
      </c>
      <c r="D193" s="27" t="str">
        <f aca="false">INDEX(Sales_Ledger!$C$6:$C$285,MATCH(C193,Sales_Ledger!$A$6:$A$285,0))</f>
        <v>Konkan Distributors, Mumbai</v>
      </c>
      <c r="E193" s="43" t="n">
        <v>451887</v>
      </c>
      <c r="F193" s="5" t="s">
        <v>418</v>
      </c>
      <c r="G193" s="5" t="s">
        <v>787</v>
      </c>
      <c r="H193" s="28" t="n">
        <f aca="false">INDEX(Sales_Ledger!$B$6:$B$285,MATCH(C193,Sales_Ledger!$A$6:$A$285,0))</f>
        <v>46231</v>
      </c>
    </row>
    <row r="194" customFormat="false" ht="15" hidden="false" customHeight="false" outlineLevel="0" collapsed="false">
      <c r="A194" s="5" t="s">
        <v>788</v>
      </c>
      <c r="B194" s="41" t="n">
        <v>46266</v>
      </c>
      <c r="C194" s="5" t="s">
        <v>275</v>
      </c>
      <c r="D194" s="27" t="str">
        <f aca="false">INDEX(Sales_Ledger!$C$6:$C$285,MATCH(C194,Sales_Ledger!$A$6:$A$285,0))</f>
        <v>Magadh Agencies, Patna</v>
      </c>
      <c r="E194" s="43" t="n">
        <v>304754</v>
      </c>
      <c r="F194" s="5" t="s">
        <v>413</v>
      </c>
      <c r="G194" s="5" t="s">
        <v>789</v>
      </c>
      <c r="H194" s="28" t="n">
        <f aca="false">INDEX(Sales_Ledger!$B$6:$B$285,MATCH(C194,Sales_Ledger!$A$6:$A$285,0))</f>
        <v>46199</v>
      </c>
    </row>
    <row r="195" customFormat="false" ht="15" hidden="false" customHeight="false" outlineLevel="0" collapsed="false">
      <c r="A195" s="5" t="s">
        <v>790</v>
      </c>
      <c r="B195" s="41" t="n">
        <v>46266</v>
      </c>
      <c r="C195" s="5" t="s">
        <v>314</v>
      </c>
      <c r="D195" s="27" t="str">
        <f aca="false">INDEX(Sales_Ledger!$C$6:$C$285,MATCH(C195,Sales_Ledger!$A$6:$A$285,0))</f>
        <v>Krishna Distributors, Hyderabad</v>
      </c>
      <c r="E195" s="43" t="n">
        <v>238357</v>
      </c>
      <c r="F195" s="5" t="s">
        <v>418</v>
      </c>
      <c r="G195" s="5" t="s">
        <v>791</v>
      </c>
      <c r="H195" s="28" t="n">
        <f aca="false">INDEX(Sales_Ledger!$B$6:$B$285,MATCH(C195,Sales_Ledger!$A$6:$A$285,0))</f>
        <v>46230</v>
      </c>
    </row>
    <row r="196" customFormat="false" ht="15" hidden="false" customHeight="false" outlineLevel="0" collapsed="false">
      <c r="A196" s="5" t="s">
        <v>792</v>
      </c>
      <c r="B196" s="41" t="n">
        <v>46267</v>
      </c>
      <c r="C196" s="5" t="s">
        <v>304</v>
      </c>
      <c r="D196" s="27" t="str">
        <f aca="false">INDEX(Sales_Ledger!$C$6:$C$285,MATCH(C196,Sales_Ledger!$A$6:$A$285,0))</f>
        <v>Brahmaputra Traders, Guwahati</v>
      </c>
      <c r="E196" s="43" t="n">
        <v>74807</v>
      </c>
      <c r="F196" s="5" t="s">
        <v>410</v>
      </c>
      <c r="G196" s="5" t="s">
        <v>793</v>
      </c>
      <c r="H196" s="28" t="n">
        <f aca="false">INDEX(Sales_Ledger!$B$6:$B$285,MATCH(C196,Sales_Ledger!$A$6:$A$285,0))</f>
        <v>46219</v>
      </c>
    </row>
    <row r="197" customFormat="false" ht="15" hidden="false" customHeight="false" outlineLevel="0" collapsed="false">
      <c r="A197" s="5" t="s">
        <v>794</v>
      </c>
      <c r="B197" s="41" t="n">
        <v>46269</v>
      </c>
      <c r="C197" s="5" t="s">
        <v>311</v>
      </c>
      <c r="D197" s="27" t="str">
        <f aca="false">INDEX(Sales_Ledger!$C$6:$C$285,MATCH(C197,Sales_Ledger!$A$6:$A$285,0))</f>
        <v>Narmada Foods, Surat</v>
      </c>
      <c r="E197" s="43" t="n">
        <v>208633</v>
      </c>
      <c r="F197" s="5" t="s">
        <v>413</v>
      </c>
      <c r="G197" s="5" t="s">
        <v>795</v>
      </c>
      <c r="H197" s="28" t="n">
        <f aca="false">INDEX(Sales_Ledger!$B$6:$B$285,MATCH(C197,Sales_Ledger!$A$6:$A$285,0))</f>
        <v>46226</v>
      </c>
    </row>
    <row r="198" customFormat="false" ht="15" hidden="false" customHeight="false" outlineLevel="0" collapsed="false">
      <c r="A198" s="5" t="s">
        <v>796</v>
      </c>
      <c r="B198" s="41" t="n">
        <v>46269</v>
      </c>
      <c r="C198" s="5" t="s">
        <v>317</v>
      </c>
      <c r="D198" s="27" t="str">
        <f aca="false">INDEX(Sales_Ledger!$C$6:$C$285,MATCH(C198,Sales_Ledger!$A$6:$A$285,0))</f>
        <v>Coromandel Traders, Chennai</v>
      </c>
      <c r="E198" s="43" t="n">
        <v>439817</v>
      </c>
      <c r="F198" s="5" t="s">
        <v>413</v>
      </c>
      <c r="G198" s="5" t="s">
        <v>797</v>
      </c>
      <c r="H198" s="28" t="n">
        <f aca="false">INDEX(Sales_Ledger!$B$6:$B$285,MATCH(C198,Sales_Ledger!$A$6:$A$285,0))</f>
        <v>46231</v>
      </c>
    </row>
    <row r="199" customFormat="false" ht="15" hidden="false" customHeight="false" outlineLevel="0" collapsed="false">
      <c r="A199" s="5" t="s">
        <v>798</v>
      </c>
      <c r="B199" s="41" t="n">
        <v>46270</v>
      </c>
      <c r="C199" s="5" t="s">
        <v>272</v>
      </c>
      <c r="D199" s="27" t="str">
        <f aca="false">INDEX(Sales_Ledger!$C$6:$C$285,MATCH(C199,Sales_Ledger!$A$6:$A$285,0))</f>
        <v>Periyar Agencies, Kochi</v>
      </c>
      <c r="E199" s="43" t="n">
        <v>100796</v>
      </c>
      <c r="F199" s="5" t="s">
        <v>418</v>
      </c>
      <c r="G199" s="5" t="s">
        <v>799</v>
      </c>
      <c r="H199" s="28" t="n">
        <f aca="false">INDEX(Sales_Ledger!$B$6:$B$285,MATCH(C199,Sales_Ledger!$A$6:$A$285,0))</f>
        <v>46198</v>
      </c>
    </row>
    <row r="200" customFormat="false" ht="15" hidden="false" customHeight="false" outlineLevel="0" collapsed="false">
      <c r="A200" s="5" t="s">
        <v>800</v>
      </c>
      <c r="B200" s="41" t="n">
        <v>46270</v>
      </c>
      <c r="C200" s="5" t="s">
        <v>278</v>
      </c>
      <c r="D200" s="27" t="str">
        <f aca="false">INDEX(Sales_Ledger!$C$6:$C$285,MATCH(C200,Sales_Ledger!$A$6:$A$285,0))</f>
        <v>Magadh Agencies, Patna</v>
      </c>
      <c r="E200" s="43" t="n">
        <v>131780</v>
      </c>
      <c r="F200" s="5" t="s">
        <v>410</v>
      </c>
      <c r="G200" s="5" t="s">
        <v>801</v>
      </c>
      <c r="H200" s="28" t="n">
        <f aca="false">INDEX(Sales_Ledger!$B$6:$B$285,MATCH(C200,Sales_Ledger!$A$6:$A$285,0))</f>
        <v>46200</v>
      </c>
    </row>
    <row r="201" customFormat="false" ht="15" hidden="false" customHeight="false" outlineLevel="0" collapsed="false">
      <c r="A201" s="5" t="s">
        <v>802</v>
      </c>
      <c r="B201" s="41" t="n">
        <v>46270</v>
      </c>
      <c r="C201" s="5" t="s">
        <v>322</v>
      </c>
      <c r="D201" s="27" t="str">
        <f aca="false">INDEX(Sales_Ledger!$C$6:$C$285,MATCH(C201,Sales_Ledger!$A$6:$A$285,0))</f>
        <v>Yamuna Traders, Delhi</v>
      </c>
      <c r="E201" s="43" t="n">
        <v>569701</v>
      </c>
      <c r="F201" s="5" t="s">
        <v>410</v>
      </c>
      <c r="G201" s="5" t="s">
        <v>803</v>
      </c>
      <c r="H201" s="28" t="n">
        <f aca="false">INDEX(Sales_Ledger!$B$6:$B$285,MATCH(C201,Sales_Ledger!$A$6:$A$285,0))</f>
        <v>46234</v>
      </c>
    </row>
    <row r="202" customFormat="false" ht="15" hidden="false" customHeight="false" outlineLevel="0" collapsed="false">
      <c r="A202" s="5" t="s">
        <v>804</v>
      </c>
      <c r="B202" s="41" t="n">
        <v>46271</v>
      </c>
      <c r="C202" s="5" t="s">
        <v>284</v>
      </c>
      <c r="D202" s="27" t="str">
        <f aca="false">INDEX(Sales_Ledger!$C$6:$C$285,MATCH(C202,Sales_Ledger!$A$6:$A$285,0))</f>
        <v>Marwar Agencies, Jaipur</v>
      </c>
      <c r="E202" s="43" t="n">
        <v>78156</v>
      </c>
      <c r="F202" s="5" t="s">
        <v>418</v>
      </c>
      <c r="G202" s="5" t="s">
        <v>805</v>
      </c>
      <c r="H202" s="28" t="n">
        <f aca="false">INDEX(Sales_Ledger!$B$6:$B$285,MATCH(C202,Sales_Ledger!$A$6:$A$285,0))</f>
        <v>46204</v>
      </c>
    </row>
    <row r="203" customFormat="false" ht="15" hidden="false" customHeight="false" outlineLevel="0" collapsed="false">
      <c r="A203" s="5" t="s">
        <v>806</v>
      </c>
      <c r="B203" s="41" t="n">
        <v>46271</v>
      </c>
      <c r="C203" s="5" t="s">
        <v>309</v>
      </c>
      <c r="D203" s="27" t="str">
        <f aca="false">INDEX(Sales_Ledger!$C$6:$C$285,MATCH(C203,Sales_Ledger!$A$6:$A$285,0))</f>
        <v>Yamuna Traders, Delhi</v>
      </c>
      <c r="E203" s="43" t="n">
        <v>243701</v>
      </c>
      <c r="F203" s="5" t="s">
        <v>410</v>
      </c>
      <c r="G203" s="5" t="s">
        <v>807</v>
      </c>
      <c r="H203" s="28" t="n">
        <f aca="false">INDEX(Sales_Ledger!$B$6:$B$285,MATCH(C203,Sales_Ledger!$A$6:$A$285,0))</f>
        <v>46225</v>
      </c>
    </row>
    <row r="204" customFormat="false" ht="15" hidden="false" customHeight="false" outlineLevel="0" collapsed="false">
      <c r="A204" s="5" t="s">
        <v>808</v>
      </c>
      <c r="B204" s="41" t="n">
        <v>46272</v>
      </c>
      <c r="C204" s="5" t="s">
        <v>310</v>
      </c>
      <c r="D204" s="27" t="str">
        <f aca="false">INDEX(Sales_Ledger!$C$6:$C$285,MATCH(C204,Sales_Ledger!$A$6:$A$285,0))</f>
        <v>Hooghly Foods, Kolkata</v>
      </c>
      <c r="E204" s="43" t="n">
        <v>211441</v>
      </c>
      <c r="F204" s="5" t="s">
        <v>413</v>
      </c>
      <c r="G204" s="5" t="s">
        <v>809</v>
      </c>
      <c r="H204" s="28" t="n">
        <f aca="false">INDEX(Sales_Ledger!$B$6:$B$285,MATCH(C204,Sales_Ledger!$A$6:$A$285,0))</f>
        <v>46225</v>
      </c>
    </row>
    <row r="205" customFormat="false" ht="15" hidden="false" customHeight="false" outlineLevel="0" collapsed="false">
      <c r="A205" s="5" t="s">
        <v>810</v>
      </c>
      <c r="B205" s="41" t="n">
        <v>46272</v>
      </c>
      <c r="C205" s="5" t="s">
        <v>324</v>
      </c>
      <c r="D205" s="27" t="str">
        <f aca="false">INDEX(Sales_Ledger!$C$6:$C$285,MATCH(C205,Sales_Ledger!$A$6:$A$285,0))</f>
        <v>Narmada Foods, Surat</v>
      </c>
      <c r="E205" s="43" t="n">
        <v>107838</v>
      </c>
      <c r="F205" s="5" t="s">
        <v>418</v>
      </c>
      <c r="G205" s="5" t="s">
        <v>811</v>
      </c>
      <c r="H205" s="28" t="n">
        <f aca="false">INDEX(Sales_Ledger!$B$6:$B$285,MATCH(C205,Sales_Ledger!$A$6:$A$285,0))</f>
        <v>46235</v>
      </c>
    </row>
    <row r="206" customFormat="false" ht="15" hidden="false" customHeight="false" outlineLevel="0" collapsed="false">
      <c r="A206" s="5" t="s">
        <v>812</v>
      </c>
      <c r="B206" s="41" t="n">
        <v>46273</v>
      </c>
      <c r="C206" s="5" t="s">
        <v>308</v>
      </c>
      <c r="D206" s="27" t="str">
        <f aca="false">INDEX(Sales_Ledger!$C$6:$C$285,MATCH(C206,Sales_Ledger!$A$6:$A$285,0))</f>
        <v>Narmada Foods, Surat</v>
      </c>
      <c r="E206" s="43" t="n">
        <v>43301</v>
      </c>
      <c r="F206" s="5" t="s">
        <v>410</v>
      </c>
      <c r="G206" s="5" t="s">
        <v>813</v>
      </c>
      <c r="H206" s="28" t="n">
        <f aca="false">INDEX(Sales_Ledger!$B$6:$B$285,MATCH(C206,Sales_Ledger!$A$6:$A$285,0))</f>
        <v>46223</v>
      </c>
    </row>
    <row r="207" customFormat="false" ht="15" hidden="false" customHeight="false" outlineLevel="0" collapsed="false">
      <c r="A207" s="5" t="s">
        <v>814</v>
      </c>
      <c r="B207" s="41" t="n">
        <v>46274</v>
      </c>
      <c r="C207" s="5" t="s">
        <v>289</v>
      </c>
      <c r="D207" s="27" t="str">
        <f aca="false">INDEX(Sales_Ledger!$C$6:$C$285,MATCH(C207,Sales_Ledger!$A$6:$A$285,0))</f>
        <v>Coromandel Traders, Chennai</v>
      </c>
      <c r="E207" s="43" t="n">
        <v>233539</v>
      </c>
      <c r="F207" s="5" t="s">
        <v>413</v>
      </c>
      <c r="G207" s="5" t="s">
        <v>815</v>
      </c>
      <c r="H207" s="28" t="n">
        <f aca="false">INDEX(Sales_Ledger!$B$6:$B$285,MATCH(C207,Sales_Ledger!$A$6:$A$285,0))</f>
        <v>46209</v>
      </c>
    </row>
    <row r="208" customFormat="false" ht="15" hidden="false" customHeight="false" outlineLevel="0" collapsed="false">
      <c r="A208" s="5" t="s">
        <v>816</v>
      </c>
      <c r="B208" s="41" t="n">
        <v>46274</v>
      </c>
      <c r="C208" s="5" t="s">
        <v>294</v>
      </c>
      <c r="D208" s="27" t="str">
        <f aca="false">INDEX(Sales_Ledger!$C$6:$C$285,MATCH(C208,Sales_Ledger!$A$6:$A$285,0))</f>
        <v>Marwar Agencies, Jaipur</v>
      </c>
      <c r="E208" s="43" t="n">
        <v>131648</v>
      </c>
      <c r="F208" s="5" t="s">
        <v>418</v>
      </c>
      <c r="G208" s="5" t="s">
        <v>817</v>
      </c>
      <c r="H208" s="28" t="n">
        <f aca="false">INDEX(Sales_Ledger!$B$6:$B$285,MATCH(C208,Sales_Ledger!$A$6:$A$285,0))</f>
        <v>46213</v>
      </c>
    </row>
    <row r="209" customFormat="false" ht="15" hidden="false" customHeight="false" outlineLevel="0" collapsed="false">
      <c r="A209" s="5" t="s">
        <v>818</v>
      </c>
      <c r="B209" s="41" t="n">
        <v>46275</v>
      </c>
      <c r="C209" s="5" t="s">
        <v>301</v>
      </c>
      <c r="D209" s="27" t="str">
        <f aca="false">INDEX(Sales_Ledger!$C$6:$C$285,MATCH(C209,Sales_Ledger!$A$6:$A$285,0))</f>
        <v>Konkan Distributors, Mumbai</v>
      </c>
      <c r="E209" s="43" t="n">
        <v>141799</v>
      </c>
      <c r="F209" s="5" t="s">
        <v>410</v>
      </c>
      <c r="G209" s="5" t="s">
        <v>819</v>
      </c>
      <c r="H209" s="28" t="n">
        <f aca="false">INDEX(Sales_Ledger!$B$6:$B$285,MATCH(C209,Sales_Ledger!$A$6:$A$285,0))</f>
        <v>46218</v>
      </c>
    </row>
    <row r="210" customFormat="false" ht="15" hidden="false" customHeight="false" outlineLevel="0" collapsed="false">
      <c r="A210" s="5" t="s">
        <v>820</v>
      </c>
      <c r="B210" s="41" t="n">
        <v>46275</v>
      </c>
      <c r="C210" s="5" t="s">
        <v>339</v>
      </c>
      <c r="D210" s="27" t="str">
        <f aca="false">INDEX(Sales_Ledger!$C$6:$C$285,MATCH(C210,Sales_Ledger!$A$6:$A$285,0))</f>
        <v>Konkan Distributors, Mumbai</v>
      </c>
      <c r="E210" s="43" t="n">
        <v>398897</v>
      </c>
      <c r="F210" s="5" t="s">
        <v>418</v>
      </c>
      <c r="G210" s="5" t="s">
        <v>821</v>
      </c>
      <c r="H210" s="28" t="n">
        <f aca="false">INDEX(Sales_Ledger!$B$6:$B$285,MATCH(C210,Sales_Ledger!$A$6:$A$285,0))</f>
        <v>46242</v>
      </c>
    </row>
    <row r="211" customFormat="false" ht="15" hidden="false" customHeight="false" outlineLevel="0" collapsed="false">
      <c r="A211" s="5" t="s">
        <v>822</v>
      </c>
      <c r="B211" s="41" t="n">
        <v>46276</v>
      </c>
      <c r="C211" s="5" t="s">
        <v>321</v>
      </c>
      <c r="D211" s="27" t="str">
        <f aca="false">INDEX(Sales_Ledger!$C$6:$C$285,MATCH(C211,Sales_Ledger!$A$6:$A$285,0))</f>
        <v>Yamuna Traders, Delhi</v>
      </c>
      <c r="E211" s="43" t="n">
        <v>129028</v>
      </c>
      <c r="F211" s="5" t="s">
        <v>410</v>
      </c>
      <c r="G211" s="5" t="s">
        <v>823</v>
      </c>
      <c r="H211" s="28" t="n">
        <f aca="false">INDEX(Sales_Ledger!$B$6:$B$285,MATCH(C211,Sales_Ledger!$A$6:$A$285,0))</f>
        <v>46233</v>
      </c>
    </row>
    <row r="212" customFormat="false" ht="15" hidden="false" customHeight="false" outlineLevel="0" collapsed="false">
      <c r="A212" s="5" t="s">
        <v>824</v>
      </c>
      <c r="B212" s="41" t="n">
        <v>46276</v>
      </c>
      <c r="C212" s="5" t="s">
        <v>338</v>
      </c>
      <c r="D212" s="27" t="str">
        <f aca="false">INDEX(Sales_Ledger!$C$6:$C$285,MATCH(C212,Sales_Ledger!$A$6:$A$285,0))</f>
        <v>Hooghly Foods, Kolkata</v>
      </c>
      <c r="E212" s="43" t="n">
        <v>250873</v>
      </c>
      <c r="F212" s="5" t="s">
        <v>413</v>
      </c>
      <c r="G212" s="5" t="s">
        <v>825</v>
      </c>
      <c r="H212" s="28" t="n">
        <f aca="false">INDEX(Sales_Ledger!$B$6:$B$285,MATCH(C212,Sales_Ledger!$A$6:$A$285,0))</f>
        <v>46242</v>
      </c>
    </row>
    <row r="213" customFormat="false" ht="15" hidden="false" customHeight="false" outlineLevel="0" collapsed="false">
      <c r="A213" s="5" t="s">
        <v>826</v>
      </c>
      <c r="B213" s="41" t="n">
        <v>46277</v>
      </c>
      <c r="C213" s="5" t="s">
        <v>296</v>
      </c>
      <c r="D213" s="27" t="str">
        <f aca="false">INDEX(Sales_Ledger!$C$6:$C$285,MATCH(C213,Sales_Ledger!$A$6:$A$285,0))</f>
        <v>Magadh Agencies, Patna</v>
      </c>
      <c r="E213" s="43" t="n">
        <v>305683</v>
      </c>
      <c r="F213" s="5" t="s">
        <v>413</v>
      </c>
      <c r="G213" s="5" t="s">
        <v>827</v>
      </c>
      <c r="H213" s="28" t="n">
        <f aca="false">INDEX(Sales_Ledger!$B$6:$B$285,MATCH(C213,Sales_Ledger!$A$6:$A$285,0))</f>
        <v>46215</v>
      </c>
    </row>
    <row r="214" customFormat="false" ht="15" hidden="false" customHeight="false" outlineLevel="0" collapsed="false">
      <c r="A214" s="5" t="s">
        <v>828</v>
      </c>
      <c r="B214" s="41" t="n">
        <v>46278</v>
      </c>
      <c r="C214" s="5" t="s">
        <v>320</v>
      </c>
      <c r="D214" s="27" t="str">
        <f aca="false">INDEX(Sales_Ledger!$C$6:$C$285,MATCH(C214,Sales_Ledger!$A$6:$A$285,0))</f>
        <v>Krishna Distributors, Hyderabad</v>
      </c>
      <c r="E214" s="43" t="n">
        <v>383775</v>
      </c>
      <c r="F214" s="5" t="s">
        <v>410</v>
      </c>
      <c r="G214" s="5" t="s">
        <v>829</v>
      </c>
      <c r="H214" s="28" t="n">
        <f aca="false">INDEX(Sales_Ledger!$B$6:$B$285,MATCH(C214,Sales_Ledger!$A$6:$A$285,0))</f>
        <v>46233</v>
      </c>
    </row>
    <row r="215" customFormat="false" ht="15" hidden="false" customHeight="false" outlineLevel="0" collapsed="false">
      <c r="A215" s="5" t="s">
        <v>830</v>
      </c>
      <c r="B215" s="41" t="n">
        <v>46278</v>
      </c>
      <c r="C215" s="5" t="s">
        <v>323</v>
      </c>
      <c r="D215" s="27" t="str">
        <f aca="false">INDEX(Sales_Ledger!$C$6:$C$285,MATCH(C215,Sales_Ledger!$A$6:$A$285,0))</f>
        <v>Krishna Distributors, Hyderabad</v>
      </c>
      <c r="E215" s="43" t="n">
        <v>159492</v>
      </c>
      <c r="F215" s="5" t="s">
        <v>410</v>
      </c>
      <c r="G215" s="5" t="s">
        <v>831</v>
      </c>
      <c r="H215" s="28" t="n">
        <f aca="false">INDEX(Sales_Ledger!$B$6:$B$285,MATCH(C215,Sales_Ledger!$A$6:$A$285,0))</f>
        <v>46235</v>
      </c>
    </row>
    <row r="216" customFormat="false" ht="15" hidden="false" customHeight="false" outlineLevel="0" collapsed="false">
      <c r="A216" s="5" t="s">
        <v>832</v>
      </c>
      <c r="B216" s="41" t="n">
        <v>46278</v>
      </c>
      <c r="C216" s="5" t="s">
        <v>328</v>
      </c>
      <c r="D216" s="27" t="str">
        <f aca="false">INDEX(Sales_Ledger!$C$6:$C$285,MATCH(C216,Sales_Ledger!$A$6:$A$285,0))</f>
        <v>Narmada Foods, Surat</v>
      </c>
      <c r="E216" s="43" t="n">
        <v>48092</v>
      </c>
      <c r="F216" s="5" t="s">
        <v>410</v>
      </c>
      <c r="G216" s="5" t="s">
        <v>833</v>
      </c>
      <c r="H216" s="28" t="n">
        <f aca="false">INDEX(Sales_Ledger!$B$6:$B$285,MATCH(C216,Sales_Ledger!$A$6:$A$285,0))</f>
        <v>46238</v>
      </c>
    </row>
    <row r="217" customFormat="false" ht="15" hidden="false" customHeight="false" outlineLevel="0" collapsed="false">
      <c r="A217" s="5" t="s">
        <v>834</v>
      </c>
      <c r="B217" s="41" t="n">
        <v>46278</v>
      </c>
      <c r="C217" s="5" t="s">
        <v>330</v>
      </c>
      <c r="D217" s="27" t="str">
        <f aca="false">INDEX(Sales_Ledger!$C$6:$C$285,MATCH(C217,Sales_Ledger!$A$6:$A$285,0))</f>
        <v>Cauvery Foods, Bengaluru</v>
      </c>
      <c r="E217" s="43" t="n">
        <v>499600</v>
      </c>
      <c r="F217" s="5" t="s">
        <v>413</v>
      </c>
      <c r="G217" s="5" t="s">
        <v>835</v>
      </c>
      <c r="H217" s="28" t="n">
        <f aca="false">INDEX(Sales_Ledger!$B$6:$B$285,MATCH(C217,Sales_Ledger!$A$6:$A$285,0))</f>
        <v>46238</v>
      </c>
    </row>
    <row r="218" customFormat="false" ht="15" hidden="false" customHeight="false" outlineLevel="0" collapsed="false">
      <c r="A218" s="5" t="s">
        <v>836</v>
      </c>
      <c r="B218" s="41" t="n">
        <v>46278</v>
      </c>
      <c r="C218" s="5" t="s">
        <v>332</v>
      </c>
      <c r="D218" s="27" t="str">
        <f aca="false">INDEX(Sales_Ledger!$C$6:$C$285,MATCH(C218,Sales_Ledger!$A$6:$A$285,0))</f>
        <v>Yamuna Traders, Delhi</v>
      </c>
      <c r="E218" s="43" t="n">
        <v>145117</v>
      </c>
      <c r="F218" s="5" t="s">
        <v>410</v>
      </c>
      <c r="G218" s="5" t="s">
        <v>837</v>
      </c>
      <c r="H218" s="28" t="n">
        <f aca="false">INDEX(Sales_Ledger!$B$6:$B$285,MATCH(C218,Sales_Ledger!$A$6:$A$285,0))</f>
        <v>46239</v>
      </c>
    </row>
    <row r="219" customFormat="false" ht="15" hidden="false" customHeight="false" outlineLevel="0" collapsed="false">
      <c r="A219" s="5" t="s">
        <v>838</v>
      </c>
      <c r="B219" s="41" t="n">
        <v>46279</v>
      </c>
      <c r="C219" s="5" t="s">
        <v>340</v>
      </c>
      <c r="D219" s="27" t="str">
        <f aca="false">INDEX(Sales_Ledger!$C$6:$C$285,MATCH(C219,Sales_Ledger!$A$6:$A$285,0))</f>
        <v>Krishna Distributors, Hyderabad</v>
      </c>
      <c r="E219" s="43" t="n">
        <v>141812</v>
      </c>
      <c r="F219" s="5" t="s">
        <v>410</v>
      </c>
      <c r="G219" s="5" t="s">
        <v>839</v>
      </c>
      <c r="H219" s="28" t="n">
        <f aca="false">INDEX(Sales_Ledger!$B$6:$B$285,MATCH(C219,Sales_Ledger!$A$6:$A$285,0))</f>
        <v>46245</v>
      </c>
    </row>
    <row r="220" customFormat="false" ht="15" hidden="false" customHeight="false" outlineLevel="0" collapsed="false">
      <c r="A220" s="5" t="s">
        <v>840</v>
      </c>
      <c r="B220" s="41" t="n">
        <v>46281</v>
      </c>
      <c r="C220" s="5" t="s">
        <v>319</v>
      </c>
      <c r="D220" s="27" t="str">
        <f aca="false">INDEX(Sales_Ledger!$C$6:$C$285,MATCH(C220,Sales_Ledger!$A$6:$A$285,0))</f>
        <v>Satluj Foods, Ludhiana</v>
      </c>
      <c r="E220" s="43" t="n">
        <v>304912</v>
      </c>
      <c r="F220" s="5" t="s">
        <v>413</v>
      </c>
      <c r="G220" s="5" t="s">
        <v>841</v>
      </c>
      <c r="H220" s="28" t="n">
        <f aca="false">INDEX(Sales_Ledger!$B$6:$B$285,MATCH(C220,Sales_Ledger!$A$6:$A$285,0))</f>
        <v>46232</v>
      </c>
    </row>
    <row r="221" customFormat="false" ht="15" hidden="false" customHeight="false" outlineLevel="0" collapsed="false">
      <c r="A221" s="5" t="s">
        <v>842</v>
      </c>
      <c r="B221" s="41" t="n">
        <v>46282</v>
      </c>
      <c r="C221" s="5" t="s">
        <v>325</v>
      </c>
      <c r="D221" s="27" t="str">
        <f aca="false">INDEX(Sales_Ledger!$C$6:$C$285,MATCH(C221,Sales_Ledger!$A$6:$A$285,0))</f>
        <v>Brahmaputra Traders, Guwahati</v>
      </c>
      <c r="E221" s="43" t="n">
        <v>199451</v>
      </c>
      <c r="F221" s="5" t="s">
        <v>418</v>
      </c>
      <c r="G221" s="5" t="s">
        <v>843</v>
      </c>
      <c r="H221" s="28" t="n">
        <f aca="false">INDEX(Sales_Ledger!$B$6:$B$285,MATCH(C221,Sales_Ledger!$A$6:$A$285,0))</f>
        <v>46236</v>
      </c>
    </row>
    <row r="222" customFormat="false" ht="15" hidden="false" customHeight="false" outlineLevel="0" collapsed="false">
      <c r="A222" s="5" t="s">
        <v>844</v>
      </c>
      <c r="B222" s="41" t="n">
        <v>46283</v>
      </c>
      <c r="C222" s="5" t="s">
        <v>315</v>
      </c>
      <c r="D222" s="27" t="str">
        <f aca="false">INDEX(Sales_Ledger!$C$6:$C$285,MATCH(C222,Sales_Ledger!$A$6:$A$285,0))</f>
        <v>Krishna Distributors, Hyderabad</v>
      </c>
      <c r="E222" s="43" t="n">
        <v>165778</v>
      </c>
      <c r="F222" s="5" t="s">
        <v>418</v>
      </c>
      <c r="G222" s="5" t="s">
        <v>845</v>
      </c>
      <c r="H222" s="28" t="n">
        <f aca="false">INDEX(Sales_Ledger!$B$6:$B$285,MATCH(C222,Sales_Ledger!$A$6:$A$285,0))</f>
        <v>46230</v>
      </c>
    </row>
    <row r="223" customFormat="false" ht="15" hidden="false" customHeight="false" outlineLevel="0" collapsed="false">
      <c r="A223" s="5" t="s">
        <v>846</v>
      </c>
      <c r="B223" s="41" t="n">
        <v>46284</v>
      </c>
      <c r="C223" s="5" t="s">
        <v>326</v>
      </c>
      <c r="D223" s="27" t="str">
        <f aca="false">INDEX(Sales_Ledger!$C$6:$C$285,MATCH(C223,Sales_Ledger!$A$6:$A$285,0))</f>
        <v>Narmada Foods, Surat</v>
      </c>
      <c r="E223" s="43" t="n">
        <v>87471</v>
      </c>
      <c r="F223" s="5" t="s">
        <v>418</v>
      </c>
      <c r="G223" s="5" t="s">
        <v>847</v>
      </c>
      <c r="H223" s="28" t="n">
        <f aca="false">INDEX(Sales_Ledger!$B$6:$B$285,MATCH(C223,Sales_Ledger!$A$6:$A$285,0))</f>
        <v>46236</v>
      </c>
    </row>
    <row r="224" customFormat="false" ht="15" hidden="false" customHeight="false" outlineLevel="0" collapsed="false">
      <c r="A224" s="5" t="s">
        <v>848</v>
      </c>
      <c r="B224" s="41" t="n">
        <v>46284</v>
      </c>
      <c r="C224" s="5" t="s">
        <v>347</v>
      </c>
      <c r="D224" s="27" t="str">
        <f aca="false">INDEX(Sales_Ledger!$C$6:$C$285,MATCH(C224,Sales_Ledger!$A$6:$A$285,0))</f>
        <v>Hooghly Foods, Kolkata</v>
      </c>
      <c r="E224" s="43" t="n">
        <v>79621</v>
      </c>
      <c r="F224" s="5" t="s">
        <v>418</v>
      </c>
      <c r="G224" s="5" t="s">
        <v>849</v>
      </c>
      <c r="H224" s="28" t="n">
        <f aca="false">INDEX(Sales_Ledger!$B$6:$B$285,MATCH(C224,Sales_Ledger!$A$6:$A$285,0))</f>
        <v>46250</v>
      </c>
    </row>
    <row r="225" customFormat="false" ht="15" hidden="false" customHeight="false" outlineLevel="0" collapsed="false">
      <c r="A225" s="5" t="s">
        <v>850</v>
      </c>
      <c r="B225" s="41" t="n">
        <v>46285</v>
      </c>
      <c r="C225" s="5" t="s">
        <v>279</v>
      </c>
      <c r="D225" s="27" t="str">
        <f aca="false">INDEX(Sales_Ledger!$C$6:$C$285,MATCH(C225,Sales_Ledger!$A$6:$A$285,0))</f>
        <v>Periyar Agencies, Kochi</v>
      </c>
      <c r="E225" s="43" t="n">
        <v>85667</v>
      </c>
      <c r="F225" s="5" t="s">
        <v>410</v>
      </c>
      <c r="G225" s="5" t="s">
        <v>851</v>
      </c>
      <c r="H225" s="28" t="n">
        <f aca="false">INDEX(Sales_Ledger!$B$6:$B$285,MATCH(C225,Sales_Ledger!$A$6:$A$285,0))</f>
        <v>46202</v>
      </c>
    </row>
    <row r="226" customFormat="false" ht="15" hidden="false" customHeight="false" outlineLevel="0" collapsed="false">
      <c r="A226" s="5" t="s">
        <v>852</v>
      </c>
      <c r="B226" s="41" t="n">
        <v>46285</v>
      </c>
      <c r="C226" s="5" t="s">
        <v>345</v>
      </c>
      <c r="D226" s="27" t="str">
        <f aca="false">INDEX(Sales_Ledger!$C$6:$C$285,MATCH(C226,Sales_Ledger!$A$6:$A$285,0))</f>
        <v>Coromandel Traders, Chennai</v>
      </c>
      <c r="E226" s="43" t="n">
        <v>362750</v>
      </c>
      <c r="F226" s="5" t="s">
        <v>418</v>
      </c>
      <c r="G226" s="5" t="s">
        <v>853</v>
      </c>
      <c r="H226" s="28" t="n">
        <f aca="false">INDEX(Sales_Ledger!$B$6:$B$285,MATCH(C226,Sales_Ledger!$A$6:$A$285,0))</f>
        <v>46249</v>
      </c>
    </row>
    <row r="227" customFormat="false" ht="15" hidden="false" customHeight="false" outlineLevel="0" collapsed="false">
      <c r="A227" s="5" t="s">
        <v>854</v>
      </c>
      <c r="B227" s="41" t="n">
        <v>46286</v>
      </c>
      <c r="C227" s="5" t="s">
        <v>307</v>
      </c>
      <c r="D227" s="27" t="str">
        <f aca="false">INDEX(Sales_Ledger!$C$6:$C$285,MATCH(C227,Sales_Ledger!$A$6:$A$285,0))</f>
        <v>Magadh Agencies, Patna</v>
      </c>
      <c r="E227" s="43" t="n">
        <v>46620</v>
      </c>
      <c r="F227" s="5" t="s">
        <v>418</v>
      </c>
      <c r="G227" s="5" t="s">
        <v>855</v>
      </c>
      <c r="H227" s="28" t="n">
        <f aca="false">INDEX(Sales_Ledger!$B$6:$B$285,MATCH(C227,Sales_Ledger!$A$6:$A$285,0))</f>
        <v>46222</v>
      </c>
    </row>
    <row r="228" customFormat="false" ht="15" hidden="false" customHeight="false" outlineLevel="0" collapsed="false">
      <c r="A228" s="5" t="s">
        <v>856</v>
      </c>
      <c r="B228" s="41" t="n">
        <v>46288</v>
      </c>
      <c r="C228" s="5" t="s">
        <v>334</v>
      </c>
      <c r="D228" s="27" t="str">
        <f aca="false">INDEX(Sales_Ledger!$C$6:$C$285,MATCH(C228,Sales_Ledger!$A$6:$A$285,0))</f>
        <v>Hooghly Foods, Kolkata</v>
      </c>
      <c r="E228" s="43" t="n">
        <v>264630</v>
      </c>
      <c r="F228" s="5" t="s">
        <v>410</v>
      </c>
      <c r="G228" s="5" t="s">
        <v>857</v>
      </c>
      <c r="H228" s="28" t="n">
        <f aca="false">INDEX(Sales_Ledger!$B$6:$B$285,MATCH(C228,Sales_Ledger!$A$6:$A$285,0))</f>
        <v>46240</v>
      </c>
    </row>
    <row r="229" customFormat="false" ht="15" hidden="false" customHeight="false" outlineLevel="0" collapsed="false">
      <c r="A229" s="5" t="s">
        <v>858</v>
      </c>
      <c r="B229" s="41" t="n">
        <v>46288</v>
      </c>
      <c r="C229" s="5" t="s">
        <v>337</v>
      </c>
      <c r="D229" s="27" t="str">
        <f aca="false">INDEX(Sales_Ledger!$C$6:$C$285,MATCH(C229,Sales_Ledger!$A$6:$A$285,0))</f>
        <v>Hooghly Foods, Kolkata</v>
      </c>
      <c r="E229" s="43" t="n">
        <v>308223</v>
      </c>
      <c r="F229" s="5" t="s">
        <v>413</v>
      </c>
      <c r="G229" s="5" t="s">
        <v>859</v>
      </c>
      <c r="H229" s="28" t="n">
        <f aca="false">INDEX(Sales_Ledger!$B$6:$B$285,MATCH(C229,Sales_Ledger!$A$6:$A$285,0))</f>
        <v>46241</v>
      </c>
    </row>
    <row r="230" customFormat="false" ht="15" hidden="false" customHeight="false" outlineLevel="0" collapsed="false">
      <c r="A230" s="5" t="s">
        <v>860</v>
      </c>
      <c r="B230" s="41" t="n">
        <v>46288</v>
      </c>
      <c r="C230" s="5" t="s">
        <v>344</v>
      </c>
      <c r="D230" s="27" t="str">
        <f aca="false">INDEX(Sales_Ledger!$C$6:$C$285,MATCH(C230,Sales_Ledger!$A$6:$A$285,0))</f>
        <v>Cauvery Foods, Bengaluru</v>
      </c>
      <c r="E230" s="43" t="n">
        <v>283959</v>
      </c>
      <c r="F230" s="5" t="s">
        <v>410</v>
      </c>
      <c r="G230" s="5" t="s">
        <v>861</v>
      </c>
      <c r="H230" s="28" t="n">
        <f aca="false">INDEX(Sales_Ledger!$B$6:$B$285,MATCH(C230,Sales_Ledger!$A$6:$A$285,0))</f>
        <v>46248</v>
      </c>
    </row>
    <row r="231" customFormat="false" ht="15" hidden="false" customHeight="false" outlineLevel="0" collapsed="false">
      <c r="A231" s="5" t="s">
        <v>862</v>
      </c>
      <c r="B231" s="41" t="n">
        <v>46289</v>
      </c>
      <c r="C231" s="5" t="s">
        <v>350</v>
      </c>
      <c r="D231" s="27" t="str">
        <f aca="false">INDEX(Sales_Ledger!$C$6:$C$285,MATCH(C231,Sales_Ledger!$A$6:$A$285,0))</f>
        <v>Hooghly Foods, Kolkata</v>
      </c>
      <c r="E231" s="43" t="n">
        <v>395695</v>
      </c>
      <c r="F231" s="5" t="s">
        <v>413</v>
      </c>
      <c r="G231" s="5" t="s">
        <v>863</v>
      </c>
      <c r="H231" s="28" t="n">
        <f aca="false">INDEX(Sales_Ledger!$B$6:$B$285,MATCH(C231,Sales_Ledger!$A$6:$A$285,0))</f>
        <v>46256</v>
      </c>
    </row>
    <row r="232" customFormat="false" ht="15" hidden="false" customHeight="false" outlineLevel="0" collapsed="false">
      <c r="A232" s="5" t="s">
        <v>864</v>
      </c>
      <c r="B232" s="41" t="n">
        <v>46290</v>
      </c>
      <c r="C232" s="5" t="s">
        <v>341</v>
      </c>
      <c r="D232" s="27" t="str">
        <f aca="false">INDEX(Sales_Ledger!$C$6:$C$285,MATCH(C232,Sales_Ledger!$A$6:$A$285,0))</f>
        <v>Brahmaputra Traders, Guwahati</v>
      </c>
      <c r="E232" s="43" t="n">
        <v>79857</v>
      </c>
      <c r="F232" s="5" t="s">
        <v>410</v>
      </c>
      <c r="G232" s="5" t="s">
        <v>865</v>
      </c>
      <c r="H232" s="28" t="n">
        <f aca="false">INDEX(Sales_Ledger!$B$6:$B$285,MATCH(C232,Sales_Ledger!$A$6:$A$285,0))</f>
        <v>46246</v>
      </c>
    </row>
    <row r="233" customFormat="false" ht="15" hidden="false" customHeight="false" outlineLevel="0" collapsed="false">
      <c r="A233" s="5" t="s">
        <v>866</v>
      </c>
      <c r="B233" s="41" t="n">
        <v>46290</v>
      </c>
      <c r="C233" s="5" t="s">
        <v>342</v>
      </c>
      <c r="D233" s="27" t="str">
        <f aca="false">INDEX(Sales_Ledger!$C$6:$C$285,MATCH(C233,Sales_Ledger!$A$6:$A$285,0))</f>
        <v>Hooghly Foods, Kolkata</v>
      </c>
      <c r="E233" s="43" t="n">
        <v>397096</v>
      </c>
      <c r="F233" s="5" t="s">
        <v>413</v>
      </c>
      <c r="G233" s="5" t="s">
        <v>867</v>
      </c>
      <c r="H233" s="28" t="n">
        <f aca="false">INDEX(Sales_Ledger!$B$6:$B$285,MATCH(C233,Sales_Ledger!$A$6:$A$285,0))</f>
        <v>46246</v>
      </c>
    </row>
    <row r="234" customFormat="false" ht="15" hidden="false" customHeight="false" outlineLevel="0" collapsed="false">
      <c r="A234" s="5" t="s">
        <v>868</v>
      </c>
      <c r="B234" s="41" t="n">
        <v>46291</v>
      </c>
      <c r="C234" s="5" t="s">
        <v>299</v>
      </c>
      <c r="D234" s="27" t="str">
        <f aca="false">INDEX(Sales_Ledger!$C$6:$C$285,MATCH(C234,Sales_Ledger!$A$6:$A$285,0))</f>
        <v>Periyar Agencies, Kochi</v>
      </c>
      <c r="E234" s="43" t="n">
        <v>214287</v>
      </c>
      <c r="F234" s="5" t="s">
        <v>413</v>
      </c>
      <c r="G234" s="5" t="s">
        <v>869</v>
      </c>
      <c r="H234" s="28" t="n">
        <f aca="false">INDEX(Sales_Ledger!$B$6:$B$285,MATCH(C234,Sales_Ledger!$A$6:$A$285,0))</f>
        <v>46217</v>
      </c>
    </row>
    <row r="235" customFormat="false" ht="15" hidden="false" customHeight="false" outlineLevel="0" collapsed="false">
      <c r="A235" s="5" t="s">
        <v>870</v>
      </c>
      <c r="B235" s="41" t="n">
        <v>46291</v>
      </c>
      <c r="C235" s="5" t="s">
        <v>321</v>
      </c>
      <c r="D235" s="27" t="str">
        <f aca="false">INDEX(Sales_Ledger!$C$6:$C$285,MATCH(C235,Sales_Ledger!$A$6:$A$285,0))</f>
        <v>Yamuna Traders, Delhi</v>
      </c>
      <c r="E235" s="43" t="n">
        <v>103664</v>
      </c>
      <c r="F235" s="5" t="s">
        <v>410</v>
      </c>
      <c r="G235" s="5" t="s">
        <v>871</v>
      </c>
      <c r="H235" s="28" t="n">
        <f aca="false">INDEX(Sales_Ledger!$B$6:$B$285,MATCH(C235,Sales_Ledger!$A$6:$A$285,0))</f>
        <v>46233</v>
      </c>
    </row>
    <row r="236" customFormat="false" ht="15" hidden="false" customHeight="false" outlineLevel="0" collapsed="false">
      <c r="A236" s="5" t="s">
        <v>872</v>
      </c>
      <c r="B236" s="41" t="n">
        <v>46292</v>
      </c>
      <c r="C236" s="5" t="s">
        <v>294</v>
      </c>
      <c r="D236" s="27" t="str">
        <f aca="false">INDEX(Sales_Ledger!$C$6:$C$285,MATCH(C236,Sales_Ledger!$A$6:$A$285,0))</f>
        <v>Marwar Agencies, Jaipur</v>
      </c>
      <c r="E236" s="43" t="n">
        <v>124765</v>
      </c>
      <c r="F236" s="5" t="s">
        <v>410</v>
      </c>
      <c r="G236" s="5" t="s">
        <v>873</v>
      </c>
      <c r="H236" s="28" t="n">
        <f aca="false">INDEX(Sales_Ledger!$B$6:$B$285,MATCH(C236,Sales_Ledger!$A$6:$A$285,0))</f>
        <v>46213</v>
      </c>
    </row>
    <row r="237" customFormat="false" ht="15" hidden="false" customHeight="false" outlineLevel="0" collapsed="false">
      <c r="A237" s="5" t="s">
        <v>874</v>
      </c>
      <c r="B237" s="41" t="n">
        <v>46293</v>
      </c>
      <c r="C237" s="5" t="s">
        <v>328</v>
      </c>
      <c r="D237" s="27" t="str">
        <f aca="false">INDEX(Sales_Ledger!$C$6:$C$285,MATCH(C237,Sales_Ledger!$A$6:$A$285,0))</f>
        <v>Narmada Foods, Surat</v>
      </c>
      <c r="E237" s="43" t="n">
        <v>24471</v>
      </c>
      <c r="F237" s="5" t="s">
        <v>410</v>
      </c>
      <c r="G237" s="5" t="s">
        <v>875</v>
      </c>
      <c r="H237" s="28" t="n">
        <f aca="false">INDEX(Sales_Ledger!$B$6:$B$285,MATCH(C237,Sales_Ledger!$A$6:$A$285,0))</f>
        <v>46238</v>
      </c>
    </row>
    <row r="238" customFormat="false" ht="15" hidden="false" customHeight="false" outlineLevel="0" collapsed="false">
      <c r="A238" s="5" t="s">
        <v>876</v>
      </c>
      <c r="B238" s="41" t="n">
        <v>46295</v>
      </c>
      <c r="C238" s="5" t="s">
        <v>329</v>
      </c>
      <c r="D238" s="27" t="str">
        <f aca="false">INDEX(Sales_Ledger!$C$6:$C$285,MATCH(C238,Sales_Ledger!$A$6:$A$285,0))</f>
        <v>Marwar Agencies, Jaipur</v>
      </c>
      <c r="E238" s="43" t="n">
        <v>154256</v>
      </c>
      <c r="F238" s="5" t="s">
        <v>410</v>
      </c>
      <c r="G238" s="5" t="s">
        <v>877</v>
      </c>
      <c r="H238" s="28" t="n">
        <f aca="false">INDEX(Sales_Ledger!$B$6:$B$285,MATCH(C238,Sales_Ledger!$A$6:$A$285,0))</f>
        <v>46238</v>
      </c>
    </row>
    <row r="239" customFormat="false" ht="15" hidden="false" customHeight="false" outlineLevel="0" collapsed="false">
      <c r="A239" s="5" t="s">
        <v>878</v>
      </c>
      <c r="B239" s="41" t="n">
        <v>46295</v>
      </c>
      <c r="C239" s="5" t="s">
        <v>346</v>
      </c>
      <c r="D239" s="27" t="str">
        <f aca="false">INDEX(Sales_Ledger!$C$6:$C$285,MATCH(C239,Sales_Ledger!$A$6:$A$285,0))</f>
        <v>Doon Distributors, Dehradun</v>
      </c>
      <c r="E239" s="43" t="n">
        <v>272065</v>
      </c>
      <c r="F239" s="5" t="s">
        <v>418</v>
      </c>
      <c r="G239" s="5" t="s">
        <v>879</v>
      </c>
      <c r="H239" s="28" t="n">
        <f aca="false">INDEX(Sales_Ledger!$B$6:$B$285,MATCH(C239,Sales_Ledger!$A$6:$A$285,0))</f>
        <v>46250</v>
      </c>
    </row>
  </sheetData>
  <autoFilter ref="A5:H2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54"/>
    <col collapsed="false" customWidth="true" hidden="false" outlineLevel="0" max="4" min="4" style="0" width="9"/>
    <col collapsed="false" customWidth="true" hidden="false" outlineLevel="0" max="6" min="5" style="0" width="13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7"/>
  </cols>
  <sheetData>
    <row r="1" customFormat="false" ht="17.35" hidden="false" customHeight="false" outlineLevel="0" collapsed="false">
      <c r="A1" s="15" t="s">
        <v>880</v>
      </c>
    </row>
    <row r="2" customFormat="false" ht="15" hidden="false" customHeight="false" outlineLevel="0" collapsed="false">
      <c r="A2" s="16" t="s">
        <v>881</v>
      </c>
    </row>
    <row r="5" customFormat="false" ht="30" hidden="false" customHeight="true" outlineLevel="0" collapsed="false">
      <c r="A5" s="6" t="s">
        <v>5</v>
      </c>
      <c r="B5" s="6" t="s">
        <v>882</v>
      </c>
      <c r="C5" s="6" t="s">
        <v>883</v>
      </c>
      <c r="D5" s="6" t="s">
        <v>884</v>
      </c>
      <c r="E5" s="6" t="s">
        <v>114</v>
      </c>
      <c r="F5" s="6" t="s">
        <v>885</v>
      </c>
      <c r="G5" s="6" t="s">
        <v>886</v>
      </c>
      <c r="H5" s="6" t="s">
        <v>887</v>
      </c>
      <c r="I5" s="6" t="s">
        <v>888</v>
      </c>
      <c r="J5" s="6" t="s">
        <v>889</v>
      </c>
    </row>
    <row r="6" customFormat="false" ht="15" hidden="false" customHeight="false" outlineLevel="0" collapsed="false">
      <c r="A6" s="41" t="n">
        <v>46113</v>
      </c>
      <c r="B6" s="5" t="s">
        <v>890</v>
      </c>
      <c r="C6" s="45" t="s">
        <v>891</v>
      </c>
      <c r="D6" s="5" t="s">
        <v>892</v>
      </c>
      <c r="E6" s="43" t="n">
        <v>370000</v>
      </c>
      <c r="F6" s="44" t="n">
        <f aca="false">IF(D6="Receipt",E6,-E6)</f>
        <v>-370000</v>
      </c>
      <c r="G6" s="5" t="s">
        <v>893</v>
      </c>
      <c r="H6" s="29" t="n">
        <f aca="false">IFERROR(INDEX(Bank_Statement!$F$6:$F$303,MATCH(G6,Bank_Statement!$C$6:$C$303,0)),"Not in bank")</f>
        <v>-370000</v>
      </c>
      <c r="I6" s="44" t="n">
        <f aca="false">IF(ISNUMBER(H6),H6-F6,"")</f>
        <v>0</v>
      </c>
      <c r="J6" s="27" t="str">
        <f aca="false">IF(NOT(ISNUMBER(H6)),"Not in bank",IF(ABS(I6)&lt;=Setup!$B$9,"Matched","Amount difference"))</f>
        <v>Matched</v>
      </c>
    </row>
    <row r="7" customFormat="false" ht="15" hidden="false" customHeight="false" outlineLevel="0" collapsed="false">
      <c r="A7" s="41" t="n">
        <v>46114</v>
      </c>
      <c r="B7" s="5" t="s">
        <v>894</v>
      </c>
      <c r="C7" s="45" t="s">
        <v>895</v>
      </c>
      <c r="D7" s="5" t="s">
        <v>892</v>
      </c>
      <c r="E7" s="43" t="n">
        <v>23332</v>
      </c>
      <c r="F7" s="44" t="n">
        <f aca="false">IF(D7="Receipt",E7,-E7)</f>
        <v>-23332</v>
      </c>
      <c r="G7" s="5" t="s">
        <v>896</v>
      </c>
      <c r="H7" s="29" t="n">
        <f aca="false">IFERROR(INDEX(Bank_Statement!$F$6:$F$303,MATCH(G7,Bank_Statement!$C$6:$C$303,0)),"Not in bank")</f>
        <v>-23332</v>
      </c>
      <c r="I7" s="44" t="n">
        <f aca="false">IF(ISNUMBER(H7),H7-F7,"")</f>
        <v>0</v>
      </c>
      <c r="J7" s="27" t="str">
        <f aca="false">IF(NOT(ISNUMBER(H7)),"Not in bank",IF(ABS(I7)&lt;=Setup!$B$9,"Matched","Amount difference"))</f>
        <v>Matched</v>
      </c>
    </row>
    <row r="8" customFormat="false" ht="15" hidden="false" customHeight="false" outlineLevel="0" collapsed="false">
      <c r="A8" s="41" t="n">
        <v>46117</v>
      </c>
      <c r="B8" s="5" t="s">
        <v>897</v>
      </c>
      <c r="C8" s="45" t="s">
        <v>898</v>
      </c>
      <c r="D8" s="5" t="s">
        <v>892</v>
      </c>
      <c r="E8" s="43" t="n">
        <v>95000</v>
      </c>
      <c r="F8" s="44" t="n">
        <f aca="false">IF(D8="Receipt",E8,-E8)</f>
        <v>-95000</v>
      </c>
      <c r="G8" s="5" t="s">
        <v>899</v>
      </c>
      <c r="H8" s="29" t="n">
        <f aca="false">IFERROR(INDEX(Bank_Statement!$F$6:$F$303,MATCH(G8,Bank_Statement!$C$6:$C$303,0)),"Not in bank")</f>
        <v>-95000</v>
      </c>
      <c r="I8" s="44" t="n">
        <f aca="false">IF(ISNUMBER(H8),H8-F8,"")</f>
        <v>0</v>
      </c>
      <c r="J8" s="27" t="str">
        <f aca="false">IF(NOT(ISNUMBER(H8)),"Not in bank",IF(ABS(I8)&lt;=Setup!$B$9,"Matched","Amount difference"))</f>
        <v>Matched</v>
      </c>
    </row>
    <row r="9" customFormat="false" ht="15" hidden="false" customHeight="false" outlineLevel="0" collapsed="false">
      <c r="A9" s="41" t="n">
        <v>46121</v>
      </c>
      <c r="B9" s="5" t="s">
        <v>409</v>
      </c>
      <c r="C9" s="45" t="s">
        <v>900</v>
      </c>
      <c r="D9" s="5" t="s">
        <v>901</v>
      </c>
      <c r="E9" s="43" t="n">
        <v>448606</v>
      </c>
      <c r="F9" s="44" t="n">
        <f aca="false">IF(D9="Receipt",E9,-E9)</f>
        <v>448606</v>
      </c>
      <c r="G9" s="5" t="s">
        <v>411</v>
      </c>
      <c r="H9" s="29" t="n">
        <f aca="false">IFERROR(INDEX(Bank_Statement!$F$6:$F$303,MATCH(G9,Bank_Statement!$C$6:$C$303,0)),"Not in bank")</f>
        <v>448606</v>
      </c>
      <c r="I9" s="44" t="n">
        <f aca="false">IF(ISNUMBER(H9),H9-F9,"")</f>
        <v>0</v>
      </c>
      <c r="J9" s="27" t="str">
        <f aca="false">IF(NOT(ISNUMBER(H9)),"Not in bank",IF(ABS(I9)&lt;=Setup!$B$9,"Matched","Amount difference"))</f>
        <v>Matched</v>
      </c>
    </row>
    <row r="10" customFormat="false" ht="15" hidden="false" customHeight="false" outlineLevel="0" collapsed="false">
      <c r="A10" s="41" t="n">
        <v>46122</v>
      </c>
      <c r="B10" s="5" t="s">
        <v>412</v>
      </c>
      <c r="C10" s="45" t="s">
        <v>902</v>
      </c>
      <c r="D10" s="5" t="s">
        <v>901</v>
      </c>
      <c r="E10" s="43" t="n">
        <v>210447</v>
      </c>
      <c r="F10" s="44" t="n">
        <f aca="false">IF(D10="Receipt",E10,-E10)</f>
        <v>210447</v>
      </c>
      <c r="G10" s="5" t="s">
        <v>414</v>
      </c>
      <c r="H10" s="29" t="n">
        <f aca="false">IFERROR(INDEX(Bank_Statement!$F$6:$F$303,MATCH(G10,Bank_Statement!$C$6:$C$303,0)),"Not in bank")</f>
        <v>210447</v>
      </c>
      <c r="I10" s="44" t="n">
        <f aca="false">IF(ISNUMBER(H10),H10-F10,"")</f>
        <v>0</v>
      </c>
      <c r="J10" s="27" t="str">
        <f aca="false">IF(NOT(ISNUMBER(H10)),"Not in bank",IF(ABS(I10)&lt;=Setup!$B$9,"Matched","Amount difference"))</f>
        <v>Matched</v>
      </c>
    </row>
    <row r="11" customFormat="false" ht="15" hidden="false" customHeight="false" outlineLevel="0" collapsed="false">
      <c r="A11" s="41" t="n">
        <v>46122</v>
      </c>
      <c r="B11" s="5" t="s">
        <v>903</v>
      </c>
      <c r="C11" s="45" t="s">
        <v>904</v>
      </c>
      <c r="D11" s="5" t="s">
        <v>892</v>
      </c>
      <c r="E11" s="43" t="n">
        <v>24592</v>
      </c>
      <c r="F11" s="44" t="n">
        <f aca="false">IF(D11="Receipt",E11,-E11)</f>
        <v>-24592</v>
      </c>
      <c r="G11" s="5" t="s">
        <v>905</v>
      </c>
      <c r="H11" s="29" t="n">
        <f aca="false">IFERROR(INDEX(Bank_Statement!$F$6:$F$303,MATCH(G11,Bank_Statement!$C$6:$C$303,0)),"Not in bank")</f>
        <v>-24592</v>
      </c>
      <c r="I11" s="44" t="n">
        <f aca="false">IF(ISNUMBER(H11),H11-F11,"")</f>
        <v>0</v>
      </c>
      <c r="J11" s="27" t="str">
        <f aca="false">IF(NOT(ISNUMBER(H11)),"Not in bank",IF(ABS(I11)&lt;=Setup!$B$9,"Matched","Amount difference"))</f>
        <v>Matched</v>
      </c>
    </row>
    <row r="12" customFormat="false" ht="15" hidden="false" customHeight="false" outlineLevel="0" collapsed="false">
      <c r="A12" s="41" t="n">
        <v>46122</v>
      </c>
      <c r="B12" s="5" t="s">
        <v>906</v>
      </c>
      <c r="C12" s="45" t="s">
        <v>907</v>
      </c>
      <c r="D12" s="5" t="s">
        <v>892</v>
      </c>
      <c r="E12" s="43" t="n">
        <v>567000</v>
      </c>
      <c r="F12" s="44" t="n">
        <f aca="false">IF(D12="Receipt",E12,-E12)</f>
        <v>-567000</v>
      </c>
      <c r="G12" s="5" t="s">
        <v>908</v>
      </c>
      <c r="H12" s="29" t="n">
        <f aca="false">IFERROR(INDEX(Bank_Statement!$F$6:$F$303,MATCH(G12,Bank_Statement!$C$6:$C$303,0)),"Not in bank")</f>
        <v>-567000</v>
      </c>
      <c r="I12" s="44" t="n">
        <f aca="false">IF(ISNUMBER(H12),H12-F12,"")</f>
        <v>0</v>
      </c>
      <c r="J12" s="27" t="str">
        <f aca="false">IF(NOT(ISNUMBER(H12)),"Not in bank",IF(ABS(I12)&lt;=Setup!$B$9,"Matched","Amount difference"))</f>
        <v>Matched</v>
      </c>
    </row>
    <row r="13" customFormat="false" ht="15" hidden="false" customHeight="false" outlineLevel="0" collapsed="false">
      <c r="A13" s="41" t="n">
        <v>46123</v>
      </c>
      <c r="B13" s="5" t="s">
        <v>415</v>
      </c>
      <c r="C13" s="45" t="s">
        <v>909</v>
      </c>
      <c r="D13" s="5" t="s">
        <v>901</v>
      </c>
      <c r="E13" s="43" t="n">
        <v>273061</v>
      </c>
      <c r="F13" s="44" t="n">
        <f aca="false">IF(D13="Receipt",E13,-E13)</f>
        <v>273061</v>
      </c>
      <c r="G13" s="5" t="s">
        <v>416</v>
      </c>
      <c r="H13" s="29" t="n">
        <f aca="false">IFERROR(INDEX(Bank_Statement!$F$6:$F$303,MATCH(G13,Bank_Statement!$C$6:$C$303,0)),"Not in bank")</f>
        <v>273061</v>
      </c>
      <c r="I13" s="44" t="n">
        <f aca="false">IF(ISNUMBER(H13),H13-F13,"")</f>
        <v>0</v>
      </c>
      <c r="J13" s="27" t="str">
        <f aca="false">IF(NOT(ISNUMBER(H13)),"Not in bank",IF(ABS(I13)&lt;=Setup!$B$9,"Matched","Amount difference"))</f>
        <v>Matched</v>
      </c>
    </row>
    <row r="14" customFormat="false" ht="15" hidden="false" customHeight="false" outlineLevel="0" collapsed="false">
      <c r="A14" s="41" t="n">
        <v>46123</v>
      </c>
      <c r="B14" s="5" t="s">
        <v>417</v>
      </c>
      <c r="C14" s="45" t="s">
        <v>910</v>
      </c>
      <c r="D14" s="5" t="s">
        <v>901</v>
      </c>
      <c r="E14" s="43" t="n">
        <v>534180</v>
      </c>
      <c r="F14" s="44" t="n">
        <f aca="false">IF(D14="Receipt",E14,-E14)</f>
        <v>534180</v>
      </c>
      <c r="G14" s="5" t="s">
        <v>419</v>
      </c>
      <c r="H14" s="29" t="n">
        <f aca="false">IFERROR(INDEX(Bank_Statement!$F$6:$F$303,MATCH(G14,Bank_Statement!$C$6:$C$303,0)),"Not in bank")</f>
        <v>534180</v>
      </c>
      <c r="I14" s="44" t="n">
        <f aca="false">IF(ISNUMBER(H14),H14-F14,"")</f>
        <v>0</v>
      </c>
      <c r="J14" s="27" t="str">
        <f aca="false">IF(NOT(ISNUMBER(H14)),"Not in bank",IF(ABS(I14)&lt;=Setup!$B$9,"Matched","Amount difference"))</f>
        <v>Matched</v>
      </c>
    </row>
    <row r="15" customFormat="false" ht="15" hidden="false" customHeight="false" outlineLevel="0" collapsed="false">
      <c r="A15" s="41" t="n">
        <v>46124</v>
      </c>
      <c r="B15" s="5" t="s">
        <v>420</v>
      </c>
      <c r="C15" s="45" t="s">
        <v>911</v>
      </c>
      <c r="D15" s="5" t="s">
        <v>901</v>
      </c>
      <c r="E15" s="43" t="n">
        <v>324643</v>
      </c>
      <c r="F15" s="44" t="n">
        <f aca="false">IF(D15="Receipt",E15,-E15)</f>
        <v>324643</v>
      </c>
      <c r="G15" s="5" t="s">
        <v>421</v>
      </c>
      <c r="H15" s="29" t="n">
        <f aca="false">IFERROR(INDEX(Bank_Statement!$F$6:$F$303,MATCH(G15,Bank_Statement!$C$6:$C$303,0)),"Not in bank")</f>
        <v>324643</v>
      </c>
      <c r="I15" s="44" t="n">
        <f aca="false">IF(ISNUMBER(H15),H15-F15,"")</f>
        <v>0</v>
      </c>
      <c r="J15" s="27" t="str">
        <f aca="false">IF(NOT(ISNUMBER(H15)),"Not in bank",IF(ABS(I15)&lt;=Setup!$B$9,"Matched","Amount difference"))</f>
        <v>Matched</v>
      </c>
    </row>
    <row r="16" customFormat="false" ht="15" hidden="false" customHeight="false" outlineLevel="0" collapsed="false">
      <c r="A16" s="41" t="n">
        <v>46124</v>
      </c>
      <c r="B16" s="5" t="s">
        <v>422</v>
      </c>
      <c r="C16" s="45" t="s">
        <v>912</v>
      </c>
      <c r="D16" s="5" t="s">
        <v>901</v>
      </c>
      <c r="E16" s="43" t="n">
        <v>71313</v>
      </c>
      <c r="F16" s="44" t="n">
        <f aca="false">IF(D16="Receipt",E16,-E16)</f>
        <v>71313</v>
      </c>
      <c r="G16" s="5" t="s">
        <v>423</v>
      </c>
      <c r="H16" s="29" t="n">
        <f aca="false">IFERROR(INDEX(Bank_Statement!$F$6:$F$303,MATCH(G16,Bank_Statement!$C$6:$C$303,0)),"Not in bank")</f>
        <v>71313</v>
      </c>
      <c r="I16" s="44" t="n">
        <f aca="false">IF(ISNUMBER(H16),H16-F16,"")</f>
        <v>0</v>
      </c>
      <c r="J16" s="27" t="str">
        <f aca="false">IF(NOT(ISNUMBER(H16)),"Not in bank",IF(ABS(I16)&lt;=Setup!$B$9,"Matched","Amount difference"))</f>
        <v>Matched</v>
      </c>
    </row>
    <row r="17" customFormat="false" ht="15" hidden="false" customHeight="false" outlineLevel="0" collapsed="false">
      <c r="A17" s="41" t="n">
        <v>46125</v>
      </c>
      <c r="B17" s="5" t="s">
        <v>424</v>
      </c>
      <c r="C17" s="45" t="s">
        <v>913</v>
      </c>
      <c r="D17" s="5" t="s">
        <v>901</v>
      </c>
      <c r="E17" s="43" t="n">
        <v>345881</v>
      </c>
      <c r="F17" s="44" t="n">
        <f aca="false">IF(D17="Receipt",E17,-E17)</f>
        <v>345881</v>
      </c>
      <c r="G17" s="5" t="s">
        <v>425</v>
      </c>
      <c r="H17" s="29" t="n">
        <f aca="false">IFERROR(INDEX(Bank_Statement!$F$6:$F$303,MATCH(G17,Bank_Statement!$C$6:$C$303,0)),"Not in bank")</f>
        <v>345881</v>
      </c>
      <c r="I17" s="44" t="n">
        <f aca="false">IF(ISNUMBER(H17),H17-F17,"")</f>
        <v>0</v>
      </c>
      <c r="J17" s="27" t="str">
        <f aca="false">IF(NOT(ISNUMBER(H17)),"Not in bank",IF(ABS(I17)&lt;=Setup!$B$9,"Matched","Amount difference"))</f>
        <v>Matched</v>
      </c>
    </row>
    <row r="18" customFormat="false" ht="15" hidden="false" customHeight="false" outlineLevel="0" collapsed="false">
      <c r="A18" s="41" t="n">
        <v>46126</v>
      </c>
      <c r="B18" s="5" t="s">
        <v>426</v>
      </c>
      <c r="C18" s="45" t="s">
        <v>914</v>
      </c>
      <c r="D18" s="5" t="s">
        <v>901</v>
      </c>
      <c r="E18" s="43" t="n">
        <v>302522</v>
      </c>
      <c r="F18" s="44" t="n">
        <f aca="false">IF(D18="Receipt",E18,-E18)</f>
        <v>302522</v>
      </c>
      <c r="G18" s="5" t="s">
        <v>427</v>
      </c>
      <c r="H18" s="29" t="n">
        <f aca="false">IFERROR(INDEX(Bank_Statement!$F$6:$F$303,MATCH(G18,Bank_Statement!$C$6:$C$303,0)),"Not in bank")</f>
        <v>302522</v>
      </c>
      <c r="I18" s="44" t="n">
        <f aca="false">IF(ISNUMBER(H18),H18-F18,"")</f>
        <v>0</v>
      </c>
      <c r="J18" s="27" t="str">
        <f aca="false">IF(NOT(ISNUMBER(H18)),"Not in bank",IF(ABS(I18)&lt;=Setup!$B$9,"Matched","Amount difference"))</f>
        <v>Matched</v>
      </c>
    </row>
    <row r="19" customFormat="false" ht="15" hidden="false" customHeight="false" outlineLevel="0" collapsed="false">
      <c r="A19" s="41" t="n">
        <v>46128</v>
      </c>
      <c r="B19" s="5" t="s">
        <v>428</v>
      </c>
      <c r="C19" s="45" t="s">
        <v>915</v>
      </c>
      <c r="D19" s="5" t="s">
        <v>901</v>
      </c>
      <c r="E19" s="43" t="n">
        <v>160355</v>
      </c>
      <c r="F19" s="44" t="n">
        <f aca="false">IF(D19="Receipt",E19,-E19)</f>
        <v>160355</v>
      </c>
      <c r="G19" s="5" t="s">
        <v>429</v>
      </c>
      <c r="H19" s="29" t="n">
        <f aca="false">IFERROR(INDEX(Bank_Statement!$F$6:$F$303,MATCH(G19,Bank_Statement!$C$6:$C$303,0)),"Not in bank")</f>
        <v>160355</v>
      </c>
      <c r="I19" s="44" t="n">
        <f aca="false">IF(ISNUMBER(H19),H19-F19,"")</f>
        <v>0</v>
      </c>
      <c r="J19" s="27" t="str">
        <f aca="false">IF(NOT(ISNUMBER(H19)),"Not in bank",IF(ABS(I19)&lt;=Setup!$B$9,"Matched","Amount difference"))</f>
        <v>Matched</v>
      </c>
    </row>
    <row r="20" customFormat="false" ht="15" hidden="false" customHeight="false" outlineLevel="0" collapsed="false">
      <c r="A20" s="41" t="n">
        <v>46129</v>
      </c>
      <c r="B20" s="5" t="s">
        <v>916</v>
      </c>
      <c r="C20" s="45" t="s">
        <v>917</v>
      </c>
      <c r="D20" s="5" t="s">
        <v>892</v>
      </c>
      <c r="E20" s="43" t="n">
        <v>83475</v>
      </c>
      <c r="F20" s="44" t="n">
        <f aca="false">IF(D20="Receipt",E20,-E20)</f>
        <v>-83475</v>
      </c>
      <c r="G20" s="5" t="s">
        <v>918</v>
      </c>
      <c r="H20" s="29" t="n">
        <f aca="false">IFERROR(INDEX(Bank_Statement!$F$6:$F$303,MATCH(G20,Bank_Statement!$C$6:$C$303,0)),"Not in bank")</f>
        <v>-83475</v>
      </c>
      <c r="I20" s="44" t="n">
        <f aca="false">IF(ISNUMBER(H20),H20-F20,"")</f>
        <v>0</v>
      </c>
      <c r="J20" s="27" t="str">
        <f aca="false">IF(NOT(ISNUMBER(H20)),"Not in bank",IF(ABS(I20)&lt;=Setup!$B$9,"Matched","Amount difference"))</f>
        <v>Matched</v>
      </c>
    </row>
    <row r="21" customFormat="false" ht="15" hidden="false" customHeight="false" outlineLevel="0" collapsed="false">
      <c r="A21" s="41" t="n">
        <v>46130</v>
      </c>
      <c r="B21" s="5" t="s">
        <v>430</v>
      </c>
      <c r="C21" s="45" t="s">
        <v>919</v>
      </c>
      <c r="D21" s="5" t="s">
        <v>901</v>
      </c>
      <c r="E21" s="43" t="n">
        <v>366402</v>
      </c>
      <c r="F21" s="44" t="n">
        <f aca="false">IF(D21="Receipt",E21,-E21)</f>
        <v>366402</v>
      </c>
      <c r="G21" s="5" t="s">
        <v>431</v>
      </c>
      <c r="H21" s="29" t="n">
        <f aca="false">IFERROR(INDEX(Bank_Statement!$F$6:$F$303,MATCH(G21,Bank_Statement!$C$6:$C$303,0)),"Not in bank")</f>
        <v>366402</v>
      </c>
      <c r="I21" s="44" t="n">
        <f aca="false">IF(ISNUMBER(H21),H21-F21,"")</f>
        <v>0</v>
      </c>
      <c r="J21" s="27" t="str">
        <f aca="false">IF(NOT(ISNUMBER(H21)),"Not in bank",IF(ABS(I21)&lt;=Setup!$B$9,"Matched","Amount difference"))</f>
        <v>Matched</v>
      </c>
    </row>
    <row r="22" customFormat="false" ht="15" hidden="false" customHeight="false" outlineLevel="0" collapsed="false">
      <c r="A22" s="41" t="n">
        <v>46130</v>
      </c>
      <c r="B22" s="5" t="s">
        <v>432</v>
      </c>
      <c r="C22" s="45" t="s">
        <v>920</v>
      </c>
      <c r="D22" s="5" t="s">
        <v>901</v>
      </c>
      <c r="E22" s="43" t="n">
        <v>166080</v>
      </c>
      <c r="F22" s="44" t="n">
        <f aca="false">IF(D22="Receipt",E22,-E22)</f>
        <v>166080</v>
      </c>
      <c r="G22" s="5" t="s">
        <v>433</v>
      </c>
      <c r="H22" s="29" t="n">
        <f aca="false">IFERROR(INDEX(Bank_Statement!$F$6:$F$303,MATCH(G22,Bank_Statement!$C$6:$C$303,0)),"Not in bank")</f>
        <v>166080</v>
      </c>
      <c r="I22" s="44" t="n">
        <f aca="false">IF(ISNUMBER(H22),H22-F22,"")</f>
        <v>0</v>
      </c>
      <c r="J22" s="27" t="str">
        <f aca="false">IF(NOT(ISNUMBER(H22)),"Not in bank",IF(ABS(I22)&lt;=Setup!$B$9,"Matched","Amount difference"))</f>
        <v>Matched</v>
      </c>
    </row>
    <row r="23" customFormat="false" ht="15" hidden="false" customHeight="false" outlineLevel="0" collapsed="false">
      <c r="A23" s="41" t="n">
        <v>46131</v>
      </c>
      <c r="B23" s="5" t="s">
        <v>434</v>
      </c>
      <c r="C23" s="45" t="s">
        <v>921</v>
      </c>
      <c r="D23" s="5" t="s">
        <v>901</v>
      </c>
      <c r="E23" s="43" t="n">
        <v>51198</v>
      </c>
      <c r="F23" s="44" t="n">
        <f aca="false">IF(D23="Receipt",E23,-E23)</f>
        <v>51198</v>
      </c>
      <c r="G23" s="5" t="s">
        <v>435</v>
      </c>
      <c r="H23" s="29" t="n">
        <f aca="false">IFERROR(INDEX(Bank_Statement!$F$6:$F$303,MATCH(G23,Bank_Statement!$C$6:$C$303,0)),"Not in bank")</f>
        <v>51198</v>
      </c>
      <c r="I23" s="44" t="n">
        <f aca="false">IF(ISNUMBER(H23),H23-F23,"")</f>
        <v>0</v>
      </c>
      <c r="J23" s="27" t="str">
        <f aca="false">IF(NOT(ISNUMBER(H23)),"Not in bank",IF(ABS(I23)&lt;=Setup!$B$9,"Matched","Amount difference"))</f>
        <v>Matched</v>
      </c>
    </row>
    <row r="24" customFormat="false" ht="15" hidden="false" customHeight="false" outlineLevel="0" collapsed="false">
      <c r="A24" s="41" t="n">
        <v>46132</v>
      </c>
      <c r="B24" s="5" t="s">
        <v>436</v>
      </c>
      <c r="C24" s="45" t="s">
        <v>922</v>
      </c>
      <c r="D24" s="5" t="s">
        <v>901</v>
      </c>
      <c r="E24" s="43" t="n">
        <v>116836</v>
      </c>
      <c r="F24" s="44" t="n">
        <f aca="false">IF(D24="Receipt",E24,-E24)</f>
        <v>116836</v>
      </c>
      <c r="G24" s="5" t="s">
        <v>437</v>
      </c>
      <c r="H24" s="29" t="n">
        <f aca="false">IFERROR(INDEX(Bank_Statement!$F$6:$F$303,MATCH(G24,Bank_Statement!$C$6:$C$303,0)),"Not in bank")</f>
        <v>116836</v>
      </c>
      <c r="I24" s="44" t="n">
        <f aca="false">IF(ISNUMBER(H24),H24-F24,"")</f>
        <v>0</v>
      </c>
      <c r="J24" s="27" t="str">
        <f aca="false">IF(NOT(ISNUMBER(H24)),"Not in bank",IF(ABS(I24)&lt;=Setup!$B$9,"Matched","Amount difference"))</f>
        <v>Matched</v>
      </c>
    </row>
    <row r="25" customFormat="false" ht="15" hidden="false" customHeight="false" outlineLevel="0" collapsed="false">
      <c r="A25" s="41" t="n">
        <v>46132</v>
      </c>
      <c r="B25" s="5" t="s">
        <v>923</v>
      </c>
      <c r="C25" s="45" t="s">
        <v>924</v>
      </c>
      <c r="D25" s="5" t="s">
        <v>892</v>
      </c>
      <c r="E25" s="43" t="n">
        <v>260000</v>
      </c>
      <c r="F25" s="44" t="n">
        <f aca="false">IF(D25="Receipt",E25,-E25)</f>
        <v>-260000</v>
      </c>
      <c r="G25" s="5" t="s">
        <v>925</v>
      </c>
      <c r="H25" s="29" t="n">
        <f aca="false">IFERROR(INDEX(Bank_Statement!$F$6:$F$303,MATCH(G25,Bank_Statement!$C$6:$C$303,0)),"Not in bank")</f>
        <v>-260000</v>
      </c>
      <c r="I25" s="44" t="n">
        <f aca="false">IF(ISNUMBER(H25),H25-F25,"")</f>
        <v>0</v>
      </c>
      <c r="J25" s="27" t="str">
        <f aca="false">IF(NOT(ISNUMBER(H25)),"Not in bank",IF(ABS(I25)&lt;=Setup!$B$9,"Matched","Amount difference"))</f>
        <v>Matched</v>
      </c>
    </row>
    <row r="26" customFormat="false" ht="15" hidden="false" customHeight="false" outlineLevel="0" collapsed="false">
      <c r="A26" s="41" t="n">
        <v>46133</v>
      </c>
      <c r="B26" s="5" t="s">
        <v>438</v>
      </c>
      <c r="C26" s="45" t="s">
        <v>902</v>
      </c>
      <c r="D26" s="5" t="s">
        <v>901</v>
      </c>
      <c r="E26" s="43" t="n">
        <v>190560</v>
      </c>
      <c r="F26" s="44" t="n">
        <f aca="false">IF(D26="Receipt",E26,-E26)</f>
        <v>190560</v>
      </c>
      <c r="G26" s="5" t="s">
        <v>439</v>
      </c>
      <c r="H26" s="29" t="n">
        <f aca="false">IFERROR(INDEX(Bank_Statement!$F$6:$F$303,MATCH(G26,Bank_Statement!$C$6:$C$303,0)),"Not in bank")</f>
        <v>190560</v>
      </c>
      <c r="I26" s="44" t="n">
        <f aca="false">IF(ISNUMBER(H26),H26-F26,"")</f>
        <v>0</v>
      </c>
      <c r="J26" s="27" t="str">
        <f aca="false">IF(NOT(ISNUMBER(H26)),"Not in bank",IF(ABS(I26)&lt;=Setup!$B$9,"Matched","Amount difference"))</f>
        <v>Matched</v>
      </c>
    </row>
    <row r="27" customFormat="false" ht="15" hidden="false" customHeight="false" outlineLevel="0" collapsed="false">
      <c r="A27" s="41" t="n">
        <v>46134</v>
      </c>
      <c r="B27" s="5" t="s">
        <v>440</v>
      </c>
      <c r="C27" s="45" t="s">
        <v>926</v>
      </c>
      <c r="D27" s="5" t="s">
        <v>901</v>
      </c>
      <c r="E27" s="43" t="n">
        <v>214074</v>
      </c>
      <c r="F27" s="44" t="n">
        <f aca="false">IF(D27="Receipt",E27,-E27)</f>
        <v>214074</v>
      </c>
      <c r="G27" s="5" t="s">
        <v>441</v>
      </c>
      <c r="H27" s="29" t="n">
        <f aca="false">IFERROR(INDEX(Bank_Statement!$F$6:$F$303,MATCH(G27,Bank_Statement!$C$6:$C$303,0)),"Not in bank")</f>
        <v>214074</v>
      </c>
      <c r="I27" s="44" t="n">
        <f aca="false">IF(ISNUMBER(H27),H27-F27,"")</f>
        <v>0</v>
      </c>
      <c r="J27" s="27" t="str">
        <f aca="false">IF(NOT(ISNUMBER(H27)),"Not in bank",IF(ABS(I27)&lt;=Setup!$B$9,"Matched","Amount difference"))</f>
        <v>Matched</v>
      </c>
    </row>
    <row r="28" customFormat="false" ht="15" hidden="false" customHeight="false" outlineLevel="0" collapsed="false">
      <c r="A28" s="41" t="n">
        <v>46134</v>
      </c>
      <c r="B28" s="5" t="s">
        <v>927</v>
      </c>
      <c r="C28" s="45" t="s">
        <v>928</v>
      </c>
      <c r="D28" s="5" t="s">
        <v>892</v>
      </c>
      <c r="E28" s="43" t="n">
        <v>119694</v>
      </c>
      <c r="F28" s="44" t="n">
        <f aca="false">IF(D28="Receipt",E28,-E28)</f>
        <v>-119694</v>
      </c>
      <c r="G28" s="5" t="s">
        <v>929</v>
      </c>
      <c r="H28" s="29" t="n">
        <f aca="false">IFERROR(INDEX(Bank_Statement!$F$6:$F$303,MATCH(G28,Bank_Statement!$C$6:$C$303,0)),"Not in bank")</f>
        <v>-119694</v>
      </c>
      <c r="I28" s="44" t="n">
        <f aca="false">IF(ISNUMBER(H28),H28-F28,"")</f>
        <v>0</v>
      </c>
      <c r="J28" s="27" t="str">
        <f aca="false">IF(NOT(ISNUMBER(H28)),"Not in bank",IF(ABS(I28)&lt;=Setup!$B$9,"Matched","Amount difference"))</f>
        <v>Matched</v>
      </c>
    </row>
    <row r="29" customFormat="false" ht="15" hidden="false" customHeight="false" outlineLevel="0" collapsed="false">
      <c r="A29" s="41" t="n">
        <v>46134</v>
      </c>
      <c r="B29" s="5" t="s">
        <v>930</v>
      </c>
      <c r="C29" s="45" t="s">
        <v>931</v>
      </c>
      <c r="D29" s="5" t="s">
        <v>892</v>
      </c>
      <c r="E29" s="43" t="n">
        <v>71146</v>
      </c>
      <c r="F29" s="44" t="n">
        <f aca="false">IF(D29="Receipt",E29,-E29)</f>
        <v>-71146</v>
      </c>
      <c r="G29" s="5" t="s">
        <v>932</v>
      </c>
      <c r="H29" s="29" t="n">
        <f aca="false">IFERROR(INDEX(Bank_Statement!$F$6:$F$303,MATCH(G29,Bank_Statement!$C$6:$C$303,0)),"Not in bank")</f>
        <v>-71146</v>
      </c>
      <c r="I29" s="44" t="n">
        <f aca="false">IF(ISNUMBER(H29),H29-F29,"")</f>
        <v>0</v>
      </c>
      <c r="J29" s="27" t="str">
        <f aca="false">IF(NOT(ISNUMBER(H29)),"Not in bank",IF(ABS(I29)&lt;=Setup!$B$9,"Matched","Amount difference"))</f>
        <v>Matched</v>
      </c>
    </row>
    <row r="30" customFormat="false" ht="15" hidden="false" customHeight="false" outlineLevel="0" collapsed="false">
      <c r="A30" s="41" t="n">
        <v>46135</v>
      </c>
      <c r="B30" s="5" t="s">
        <v>442</v>
      </c>
      <c r="C30" s="45" t="s">
        <v>933</v>
      </c>
      <c r="D30" s="5" t="s">
        <v>901</v>
      </c>
      <c r="E30" s="43" t="n">
        <v>274315</v>
      </c>
      <c r="F30" s="44" t="n">
        <f aca="false">IF(D30="Receipt",E30,-E30)</f>
        <v>274315</v>
      </c>
      <c r="G30" s="5" t="s">
        <v>443</v>
      </c>
      <c r="H30" s="29" t="n">
        <f aca="false">IFERROR(INDEX(Bank_Statement!$F$6:$F$303,MATCH(G30,Bank_Statement!$C$6:$C$303,0)),"Not in bank")</f>
        <v>274315</v>
      </c>
      <c r="I30" s="44" t="n">
        <f aca="false">IF(ISNUMBER(H30),H30-F30,"")</f>
        <v>0</v>
      </c>
      <c r="J30" s="27" t="str">
        <f aca="false">IF(NOT(ISNUMBER(H30)),"Not in bank",IF(ABS(I30)&lt;=Setup!$B$9,"Matched","Amount difference"))</f>
        <v>Matched</v>
      </c>
    </row>
    <row r="31" customFormat="false" ht="15" hidden="false" customHeight="false" outlineLevel="0" collapsed="false">
      <c r="A31" s="41" t="n">
        <v>46136</v>
      </c>
      <c r="B31" s="5" t="s">
        <v>444</v>
      </c>
      <c r="C31" s="45" t="s">
        <v>934</v>
      </c>
      <c r="D31" s="5" t="s">
        <v>901</v>
      </c>
      <c r="E31" s="43" t="n">
        <v>100844</v>
      </c>
      <c r="F31" s="44" t="n">
        <f aca="false">IF(D31="Receipt",E31,-E31)</f>
        <v>100844</v>
      </c>
      <c r="G31" s="5" t="s">
        <v>445</v>
      </c>
      <c r="H31" s="29" t="n">
        <f aca="false">IFERROR(INDEX(Bank_Statement!$F$6:$F$303,MATCH(G31,Bank_Statement!$C$6:$C$303,0)),"Not in bank")</f>
        <v>100844</v>
      </c>
      <c r="I31" s="44" t="n">
        <f aca="false">IF(ISNUMBER(H31),H31-F31,"")</f>
        <v>0</v>
      </c>
      <c r="J31" s="27" t="str">
        <f aca="false">IF(NOT(ISNUMBER(H31)),"Not in bank",IF(ABS(I31)&lt;=Setup!$B$9,"Matched","Amount difference"))</f>
        <v>Matched</v>
      </c>
    </row>
    <row r="32" customFormat="false" ht="15" hidden="false" customHeight="false" outlineLevel="0" collapsed="false">
      <c r="A32" s="41" t="n">
        <v>46136</v>
      </c>
      <c r="B32" s="5" t="s">
        <v>935</v>
      </c>
      <c r="C32" s="45" t="s">
        <v>907</v>
      </c>
      <c r="D32" s="5" t="s">
        <v>892</v>
      </c>
      <c r="E32" s="43" t="n">
        <v>3003000</v>
      </c>
      <c r="F32" s="44" t="n">
        <f aca="false">IF(D32="Receipt",E32,-E32)</f>
        <v>-3003000</v>
      </c>
      <c r="G32" s="5" t="s">
        <v>936</v>
      </c>
      <c r="H32" s="29" t="n">
        <f aca="false">IFERROR(INDEX(Bank_Statement!$F$6:$F$303,MATCH(G32,Bank_Statement!$C$6:$C$303,0)),"Not in bank")</f>
        <v>-3003000</v>
      </c>
      <c r="I32" s="44" t="n">
        <f aca="false">IF(ISNUMBER(H32),H32-F32,"")</f>
        <v>0</v>
      </c>
      <c r="J32" s="27" t="str">
        <f aca="false">IF(NOT(ISNUMBER(H32)),"Not in bank",IF(ABS(I32)&lt;=Setup!$B$9,"Matched","Amount difference"))</f>
        <v>Matched</v>
      </c>
    </row>
    <row r="33" customFormat="false" ht="15" hidden="false" customHeight="false" outlineLevel="0" collapsed="false">
      <c r="A33" s="41" t="n">
        <v>46138</v>
      </c>
      <c r="B33" s="5" t="s">
        <v>446</v>
      </c>
      <c r="C33" s="45" t="s">
        <v>937</v>
      </c>
      <c r="D33" s="5" t="s">
        <v>901</v>
      </c>
      <c r="E33" s="43" t="n">
        <v>283842</v>
      </c>
      <c r="F33" s="44" t="n">
        <f aca="false">IF(D33="Receipt",E33,-E33)</f>
        <v>283842</v>
      </c>
      <c r="G33" s="5" t="s">
        <v>447</v>
      </c>
      <c r="H33" s="29" t="n">
        <f aca="false">IFERROR(INDEX(Bank_Statement!$F$6:$F$303,MATCH(G33,Bank_Statement!$C$6:$C$303,0)),"Not in bank")</f>
        <v>283842</v>
      </c>
      <c r="I33" s="44" t="n">
        <f aca="false">IF(ISNUMBER(H33),H33-F33,"")</f>
        <v>0</v>
      </c>
      <c r="J33" s="27" t="str">
        <f aca="false">IF(NOT(ISNUMBER(H33)),"Not in bank",IF(ABS(I33)&lt;=Setup!$B$9,"Matched","Amount difference"))</f>
        <v>Matched</v>
      </c>
    </row>
    <row r="34" customFormat="false" ht="15" hidden="false" customHeight="false" outlineLevel="0" collapsed="false">
      <c r="A34" s="41" t="n">
        <v>46138</v>
      </c>
      <c r="B34" s="5" t="s">
        <v>938</v>
      </c>
      <c r="C34" s="45" t="s">
        <v>928</v>
      </c>
      <c r="D34" s="5" t="s">
        <v>892</v>
      </c>
      <c r="E34" s="43" t="n">
        <v>170607</v>
      </c>
      <c r="F34" s="44" t="n">
        <f aca="false">IF(D34="Receipt",E34,-E34)</f>
        <v>-170607</v>
      </c>
      <c r="G34" s="5" t="s">
        <v>939</v>
      </c>
      <c r="H34" s="29" t="n">
        <f aca="false">IFERROR(INDEX(Bank_Statement!$F$6:$F$303,MATCH(G34,Bank_Statement!$C$6:$C$303,0)),"Not in bank")</f>
        <v>-170607</v>
      </c>
      <c r="I34" s="44" t="n">
        <f aca="false">IF(ISNUMBER(H34),H34-F34,"")</f>
        <v>0</v>
      </c>
      <c r="J34" s="27" t="str">
        <f aca="false">IF(NOT(ISNUMBER(H34)),"Not in bank",IF(ABS(I34)&lt;=Setup!$B$9,"Matched","Amount difference"))</f>
        <v>Matched</v>
      </c>
    </row>
    <row r="35" customFormat="false" ht="15" hidden="false" customHeight="false" outlineLevel="0" collapsed="false">
      <c r="A35" s="41" t="n">
        <v>46139</v>
      </c>
      <c r="B35" s="5" t="s">
        <v>448</v>
      </c>
      <c r="C35" s="45" t="s">
        <v>940</v>
      </c>
      <c r="D35" s="5" t="s">
        <v>901</v>
      </c>
      <c r="E35" s="43" t="n">
        <v>403095</v>
      </c>
      <c r="F35" s="44" t="n">
        <f aca="false">IF(D35="Receipt",E35,-E35)</f>
        <v>403095</v>
      </c>
      <c r="G35" s="5" t="s">
        <v>449</v>
      </c>
      <c r="H35" s="29" t="n">
        <f aca="false">IFERROR(INDEX(Bank_Statement!$F$6:$F$303,MATCH(G35,Bank_Statement!$C$6:$C$303,0)),"Not in bank")</f>
        <v>403095</v>
      </c>
      <c r="I35" s="44" t="n">
        <f aca="false">IF(ISNUMBER(H35),H35-F35,"")</f>
        <v>0</v>
      </c>
      <c r="J35" s="27" t="str">
        <f aca="false">IF(NOT(ISNUMBER(H35)),"Not in bank",IF(ABS(I35)&lt;=Setup!$B$9,"Matched","Amount difference"))</f>
        <v>Matched</v>
      </c>
    </row>
    <row r="36" customFormat="false" ht="15" hidden="false" customHeight="false" outlineLevel="0" collapsed="false">
      <c r="A36" s="41" t="n">
        <v>46139</v>
      </c>
      <c r="B36" s="5" t="s">
        <v>450</v>
      </c>
      <c r="C36" s="45" t="s">
        <v>941</v>
      </c>
      <c r="D36" s="5" t="s">
        <v>901</v>
      </c>
      <c r="E36" s="43" t="n">
        <v>242300</v>
      </c>
      <c r="F36" s="44" t="n">
        <f aca="false">IF(D36="Receipt",E36,-E36)</f>
        <v>242300</v>
      </c>
      <c r="G36" s="5" t="s">
        <v>451</v>
      </c>
      <c r="H36" s="29" t="n">
        <f aca="false">IFERROR(INDEX(Bank_Statement!$F$6:$F$303,MATCH(G36,Bank_Statement!$C$6:$C$303,0)),"Not in bank")</f>
        <v>242300</v>
      </c>
      <c r="I36" s="44" t="n">
        <f aca="false">IF(ISNUMBER(H36),H36-F36,"")</f>
        <v>0</v>
      </c>
      <c r="J36" s="27" t="str">
        <f aca="false">IF(NOT(ISNUMBER(H36)),"Not in bank",IF(ABS(I36)&lt;=Setup!$B$9,"Matched","Amount difference"))</f>
        <v>Matched</v>
      </c>
    </row>
    <row r="37" customFormat="false" ht="15" hidden="false" customHeight="false" outlineLevel="0" collapsed="false">
      <c r="A37" s="41" t="n">
        <v>46139</v>
      </c>
      <c r="B37" s="5" t="s">
        <v>452</v>
      </c>
      <c r="C37" s="45" t="s">
        <v>942</v>
      </c>
      <c r="D37" s="5" t="s">
        <v>901</v>
      </c>
      <c r="E37" s="43" t="n">
        <v>126314</v>
      </c>
      <c r="F37" s="44" t="n">
        <f aca="false">IF(D37="Receipt",E37,-E37)</f>
        <v>126314</v>
      </c>
      <c r="G37" s="5" t="s">
        <v>453</v>
      </c>
      <c r="H37" s="29" t="n">
        <f aca="false">IFERROR(INDEX(Bank_Statement!$F$6:$F$303,MATCH(G37,Bank_Statement!$C$6:$C$303,0)),"Not in bank")</f>
        <v>126314</v>
      </c>
      <c r="I37" s="44" t="n">
        <f aca="false">IF(ISNUMBER(H37),H37-F37,"")</f>
        <v>0</v>
      </c>
      <c r="J37" s="27" t="str">
        <f aca="false">IF(NOT(ISNUMBER(H37)),"Not in bank",IF(ABS(I37)&lt;=Setup!$B$9,"Matched","Amount difference"))</f>
        <v>Matched</v>
      </c>
    </row>
    <row r="38" customFormat="false" ht="15" hidden="false" customHeight="false" outlineLevel="0" collapsed="false">
      <c r="A38" s="41" t="n">
        <v>46139</v>
      </c>
      <c r="B38" s="5" t="s">
        <v>943</v>
      </c>
      <c r="C38" s="45" t="s">
        <v>944</v>
      </c>
      <c r="D38" s="5" t="s">
        <v>892</v>
      </c>
      <c r="E38" s="43" t="n">
        <v>123083</v>
      </c>
      <c r="F38" s="44" t="n">
        <f aca="false">IF(D38="Receipt",E38,-E38)</f>
        <v>-123083</v>
      </c>
      <c r="G38" s="5" t="s">
        <v>945</v>
      </c>
      <c r="H38" s="29" t="n">
        <f aca="false">IFERROR(INDEX(Bank_Statement!$F$6:$F$303,MATCH(G38,Bank_Statement!$C$6:$C$303,0)),"Not in bank")</f>
        <v>-123083</v>
      </c>
      <c r="I38" s="44" t="n">
        <f aca="false">IF(ISNUMBER(H38),H38-F38,"")</f>
        <v>0</v>
      </c>
      <c r="J38" s="27" t="str">
        <f aca="false">IF(NOT(ISNUMBER(H38)),"Not in bank",IF(ABS(I38)&lt;=Setup!$B$9,"Matched","Amount difference"))</f>
        <v>Matched</v>
      </c>
    </row>
    <row r="39" customFormat="false" ht="15" hidden="false" customHeight="false" outlineLevel="0" collapsed="false">
      <c r="A39" s="41" t="n">
        <v>46141</v>
      </c>
      <c r="B39" s="5" t="s">
        <v>454</v>
      </c>
      <c r="C39" s="45" t="s">
        <v>946</v>
      </c>
      <c r="D39" s="5" t="s">
        <v>901</v>
      </c>
      <c r="E39" s="43" t="n">
        <v>90454</v>
      </c>
      <c r="F39" s="44" t="n">
        <f aca="false">IF(D39="Receipt",E39,-E39)</f>
        <v>90454</v>
      </c>
      <c r="G39" s="5" t="s">
        <v>455</v>
      </c>
      <c r="H39" s="29" t="n">
        <f aca="false">IFERROR(INDEX(Bank_Statement!$F$6:$F$303,MATCH(G39,Bank_Statement!$C$6:$C$303,0)),"Not in bank")</f>
        <v>90454</v>
      </c>
      <c r="I39" s="44" t="n">
        <f aca="false">IF(ISNUMBER(H39),H39-F39,"")</f>
        <v>0</v>
      </c>
      <c r="J39" s="27" t="str">
        <f aca="false">IF(NOT(ISNUMBER(H39)),"Not in bank",IF(ABS(I39)&lt;=Setup!$B$9,"Matched","Amount difference"))</f>
        <v>Matched</v>
      </c>
    </row>
    <row r="40" customFormat="false" ht="15" hidden="false" customHeight="false" outlineLevel="0" collapsed="false">
      <c r="A40" s="41" t="n">
        <v>46141</v>
      </c>
      <c r="B40" s="5" t="s">
        <v>456</v>
      </c>
      <c r="C40" s="45" t="s">
        <v>947</v>
      </c>
      <c r="D40" s="5" t="s">
        <v>901</v>
      </c>
      <c r="E40" s="43" t="n">
        <v>287689</v>
      </c>
      <c r="F40" s="44" t="n">
        <f aca="false">IF(D40="Receipt",E40,-E40)</f>
        <v>287689</v>
      </c>
      <c r="G40" s="5" t="s">
        <v>457</v>
      </c>
      <c r="H40" s="29" t="n">
        <f aca="false">IFERROR(INDEX(Bank_Statement!$F$6:$F$303,MATCH(G40,Bank_Statement!$C$6:$C$303,0)),"Not in bank")</f>
        <v>287689</v>
      </c>
      <c r="I40" s="44" t="n">
        <f aca="false">IF(ISNUMBER(H40),H40-F40,"")</f>
        <v>0</v>
      </c>
      <c r="J40" s="27" t="str">
        <f aca="false">IF(NOT(ISNUMBER(H40)),"Not in bank",IF(ABS(I40)&lt;=Setup!$B$9,"Matched","Amount difference"))</f>
        <v>Matched</v>
      </c>
    </row>
    <row r="41" customFormat="false" ht="15" hidden="false" customHeight="false" outlineLevel="0" collapsed="false">
      <c r="A41" s="41" t="n">
        <v>46142</v>
      </c>
      <c r="B41" s="5" t="s">
        <v>458</v>
      </c>
      <c r="C41" s="45" t="s">
        <v>948</v>
      </c>
      <c r="D41" s="5" t="s">
        <v>901</v>
      </c>
      <c r="E41" s="43" t="n">
        <v>294234</v>
      </c>
      <c r="F41" s="44" t="n">
        <f aca="false">IF(D41="Receipt",E41,-E41)</f>
        <v>294234</v>
      </c>
      <c r="G41" s="5" t="s">
        <v>459</v>
      </c>
      <c r="H41" s="29" t="n">
        <f aca="false">IFERROR(INDEX(Bank_Statement!$F$6:$F$303,MATCH(G41,Bank_Statement!$C$6:$C$303,0)),"Not in bank")</f>
        <v>294234</v>
      </c>
      <c r="I41" s="44" t="n">
        <f aca="false">IF(ISNUMBER(H41),H41-F41,"")</f>
        <v>0</v>
      </c>
      <c r="J41" s="27" t="str">
        <f aca="false">IF(NOT(ISNUMBER(H41)),"Not in bank",IF(ABS(I41)&lt;=Setup!$B$9,"Matched","Amount difference"))</f>
        <v>Matched</v>
      </c>
    </row>
    <row r="42" customFormat="false" ht="15" hidden="false" customHeight="false" outlineLevel="0" collapsed="false">
      <c r="A42" s="41" t="n">
        <v>46142</v>
      </c>
      <c r="B42" s="5" t="s">
        <v>949</v>
      </c>
      <c r="C42" s="45" t="s">
        <v>931</v>
      </c>
      <c r="D42" s="5" t="s">
        <v>892</v>
      </c>
      <c r="E42" s="43" t="n">
        <v>113959</v>
      </c>
      <c r="F42" s="44" t="n">
        <f aca="false">IF(D42="Receipt",E42,-E42)</f>
        <v>-113959</v>
      </c>
      <c r="G42" s="5" t="s">
        <v>950</v>
      </c>
      <c r="H42" s="29" t="n">
        <f aca="false">IFERROR(INDEX(Bank_Statement!$F$6:$F$303,MATCH(G42,Bank_Statement!$C$6:$C$303,0)),"Not in bank")</f>
        <v>-113959</v>
      </c>
      <c r="I42" s="44" t="n">
        <f aca="false">IF(ISNUMBER(H42),H42-F42,"")</f>
        <v>0</v>
      </c>
      <c r="J42" s="27" t="str">
        <f aca="false">IF(NOT(ISNUMBER(H42)),"Not in bank",IF(ABS(I42)&lt;=Setup!$B$9,"Matched","Amount difference"))</f>
        <v>Matched</v>
      </c>
    </row>
    <row r="43" customFormat="false" ht="15" hidden="false" customHeight="false" outlineLevel="0" collapsed="false">
      <c r="A43" s="41" t="n">
        <v>46142</v>
      </c>
      <c r="B43" s="5" t="s">
        <v>951</v>
      </c>
      <c r="C43" s="45" t="s">
        <v>952</v>
      </c>
      <c r="D43" s="5" t="s">
        <v>892</v>
      </c>
      <c r="E43" s="43" t="n">
        <v>590</v>
      </c>
      <c r="F43" s="44" t="n">
        <f aca="false">IF(D43="Receipt",E43,-E43)</f>
        <v>-590</v>
      </c>
      <c r="G43" s="5" t="s">
        <v>953</v>
      </c>
      <c r="H43" s="29" t="n">
        <f aca="false">IFERROR(INDEX(Bank_Statement!$F$6:$F$303,MATCH(G43,Bank_Statement!$C$6:$C$303,0)),"Not in bank")</f>
        <v>-590</v>
      </c>
      <c r="I43" s="44" t="n">
        <f aca="false">IF(ISNUMBER(H43),H43-F43,"")</f>
        <v>0</v>
      </c>
      <c r="J43" s="27" t="str">
        <f aca="false">IF(NOT(ISNUMBER(H43)),"Not in bank",IF(ABS(I43)&lt;=Setup!$B$9,"Matched","Amount difference"))</f>
        <v>Matched</v>
      </c>
    </row>
    <row r="44" customFormat="false" ht="15" hidden="false" customHeight="false" outlineLevel="0" collapsed="false">
      <c r="A44" s="41" t="n">
        <v>46143</v>
      </c>
      <c r="B44" s="5" t="s">
        <v>460</v>
      </c>
      <c r="C44" s="45" t="s">
        <v>954</v>
      </c>
      <c r="D44" s="5" t="s">
        <v>901</v>
      </c>
      <c r="E44" s="43" t="n">
        <v>179903</v>
      </c>
      <c r="F44" s="44" t="n">
        <f aca="false">IF(D44="Receipt",E44,-E44)</f>
        <v>179903</v>
      </c>
      <c r="G44" s="5" t="s">
        <v>461</v>
      </c>
      <c r="H44" s="29" t="n">
        <f aca="false">IFERROR(INDEX(Bank_Statement!$F$6:$F$303,MATCH(G44,Bank_Statement!$C$6:$C$303,0)),"Not in bank")</f>
        <v>179903</v>
      </c>
      <c r="I44" s="44" t="n">
        <f aca="false">IF(ISNUMBER(H44),H44-F44,"")</f>
        <v>0</v>
      </c>
      <c r="J44" s="27" t="str">
        <f aca="false">IF(NOT(ISNUMBER(H44)),"Not in bank",IF(ABS(I44)&lt;=Setup!$B$9,"Matched","Amount difference"))</f>
        <v>Matched</v>
      </c>
    </row>
    <row r="45" customFormat="false" ht="15" hidden="false" customHeight="false" outlineLevel="0" collapsed="false">
      <c r="A45" s="41" t="n">
        <v>46143</v>
      </c>
      <c r="B45" s="5" t="s">
        <v>955</v>
      </c>
      <c r="C45" s="45" t="s">
        <v>956</v>
      </c>
      <c r="D45" s="5" t="s">
        <v>892</v>
      </c>
      <c r="E45" s="43" t="n">
        <v>380000</v>
      </c>
      <c r="F45" s="44" t="n">
        <f aca="false">IF(D45="Receipt",E45,-E45)</f>
        <v>-380000</v>
      </c>
      <c r="G45" s="5" t="s">
        <v>957</v>
      </c>
      <c r="H45" s="29" t="n">
        <f aca="false">IFERROR(INDEX(Bank_Statement!$F$6:$F$303,MATCH(G45,Bank_Statement!$C$6:$C$303,0)),"Not in bank")</f>
        <v>-380000</v>
      </c>
      <c r="I45" s="44" t="n">
        <f aca="false">IF(ISNUMBER(H45),H45-F45,"")</f>
        <v>0</v>
      </c>
      <c r="J45" s="27" t="str">
        <f aca="false">IF(NOT(ISNUMBER(H45)),"Not in bank",IF(ABS(I45)&lt;=Setup!$B$9,"Matched","Amount difference"))</f>
        <v>Matched</v>
      </c>
    </row>
    <row r="46" customFormat="false" ht="15" hidden="false" customHeight="false" outlineLevel="0" collapsed="false">
      <c r="A46" s="41" t="n">
        <v>46145</v>
      </c>
      <c r="B46" s="5" t="s">
        <v>462</v>
      </c>
      <c r="C46" s="45" t="s">
        <v>958</v>
      </c>
      <c r="D46" s="5" t="s">
        <v>901</v>
      </c>
      <c r="E46" s="43" t="n">
        <v>149133</v>
      </c>
      <c r="F46" s="44" t="n">
        <f aca="false">IF(D46="Receipt",E46,-E46)</f>
        <v>149133</v>
      </c>
      <c r="G46" s="5" t="s">
        <v>463</v>
      </c>
      <c r="H46" s="29" t="n">
        <f aca="false">IFERROR(INDEX(Bank_Statement!$F$6:$F$303,MATCH(G46,Bank_Statement!$C$6:$C$303,0)),"Not in bank")</f>
        <v>149133</v>
      </c>
      <c r="I46" s="44" t="n">
        <f aca="false">IF(ISNUMBER(H46),H46-F46,"")</f>
        <v>0</v>
      </c>
      <c r="J46" s="27" t="str">
        <f aca="false">IF(NOT(ISNUMBER(H46)),"Not in bank",IF(ABS(I46)&lt;=Setup!$B$9,"Matched","Amount difference"))</f>
        <v>Matched</v>
      </c>
    </row>
    <row r="47" customFormat="false" ht="15" hidden="false" customHeight="false" outlineLevel="0" collapsed="false">
      <c r="A47" s="41" t="n">
        <v>46145</v>
      </c>
      <c r="B47" s="5" t="s">
        <v>464</v>
      </c>
      <c r="C47" s="45" t="s">
        <v>959</v>
      </c>
      <c r="D47" s="5" t="s">
        <v>901</v>
      </c>
      <c r="E47" s="43" t="n">
        <v>119088</v>
      </c>
      <c r="F47" s="44" t="n">
        <f aca="false">IF(D47="Receipt",E47,-E47)</f>
        <v>119088</v>
      </c>
      <c r="G47" s="5" t="s">
        <v>465</v>
      </c>
      <c r="H47" s="29" t="n">
        <f aca="false">IFERROR(INDEX(Bank_Statement!$F$6:$F$303,MATCH(G47,Bank_Statement!$C$6:$C$303,0)),"Not in bank")</f>
        <v>119088</v>
      </c>
      <c r="I47" s="44" t="n">
        <f aca="false">IF(ISNUMBER(H47),H47-F47,"")</f>
        <v>0</v>
      </c>
      <c r="J47" s="27" t="str">
        <f aca="false">IF(NOT(ISNUMBER(H47)),"Not in bank",IF(ABS(I47)&lt;=Setup!$B$9,"Matched","Amount difference"))</f>
        <v>Matched</v>
      </c>
    </row>
    <row r="48" customFormat="false" ht="15" hidden="false" customHeight="false" outlineLevel="0" collapsed="false">
      <c r="A48" s="41" t="n">
        <v>46146</v>
      </c>
      <c r="B48" s="5" t="s">
        <v>466</v>
      </c>
      <c r="C48" s="45" t="s">
        <v>960</v>
      </c>
      <c r="D48" s="5" t="s">
        <v>901</v>
      </c>
      <c r="E48" s="43" t="n">
        <v>289772</v>
      </c>
      <c r="F48" s="44" t="n">
        <f aca="false">IF(D48="Receipt",E48,-E48)</f>
        <v>289772</v>
      </c>
      <c r="G48" s="5" t="s">
        <v>467</v>
      </c>
      <c r="H48" s="29" t="n">
        <f aca="false">IFERROR(INDEX(Bank_Statement!$F$6:$F$303,MATCH(G48,Bank_Statement!$C$6:$C$303,0)),"Not in bank")</f>
        <v>289772</v>
      </c>
      <c r="I48" s="44" t="n">
        <f aca="false">IF(ISNUMBER(H48),H48-F48,"")</f>
        <v>0</v>
      </c>
      <c r="J48" s="27" t="str">
        <f aca="false">IF(NOT(ISNUMBER(H48)),"Not in bank",IF(ABS(I48)&lt;=Setup!$B$9,"Matched","Amount difference"))</f>
        <v>Matched</v>
      </c>
    </row>
    <row r="49" customFormat="false" ht="15" hidden="false" customHeight="false" outlineLevel="0" collapsed="false">
      <c r="A49" s="41" t="n">
        <v>46147</v>
      </c>
      <c r="B49" s="5" t="s">
        <v>468</v>
      </c>
      <c r="C49" s="45" t="s">
        <v>961</v>
      </c>
      <c r="D49" s="5" t="s">
        <v>901</v>
      </c>
      <c r="E49" s="43" t="n">
        <v>310750</v>
      </c>
      <c r="F49" s="44" t="n">
        <f aca="false">IF(D49="Receipt",E49,-E49)</f>
        <v>310750</v>
      </c>
      <c r="G49" s="5" t="s">
        <v>469</v>
      </c>
      <c r="H49" s="29" t="n">
        <f aca="false">IFERROR(INDEX(Bank_Statement!$F$6:$F$303,MATCH(G49,Bank_Statement!$C$6:$C$303,0)),"Not in bank")</f>
        <v>310750</v>
      </c>
      <c r="I49" s="44" t="n">
        <f aca="false">IF(ISNUMBER(H49),H49-F49,"")</f>
        <v>0</v>
      </c>
      <c r="J49" s="27" t="str">
        <f aca="false">IF(NOT(ISNUMBER(H49)),"Not in bank",IF(ABS(I49)&lt;=Setup!$B$9,"Matched","Amount difference"))</f>
        <v>Matched</v>
      </c>
    </row>
    <row r="50" customFormat="false" ht="15" hidden="false" customHeight="false" outlineLevel="0" collapsed="false">
      <c r="A50" s="41" t="n">
        <v>46147</v>
      </c>
      <c r="B50" s="5" t="s">
        <v>470</v>
      </c>
      <c r="C50" s="45" t="s">
        <v>962</v>
      </c>
      <c r="D50" s="5" t="s">
        <v>901</v>
      </c>
      <c r="E50" s="43" t="n">
        <v>149207</v>
      </c>
      <c r="F50" s="44" t="n">
        <f aca="false">IF(D50="Receipt",E50,-E50)</f>
        <v>149207</v>
      </c>
      <c r="G50" s="5" t="s">
        <v>471</v>
      </c>
      <c r="H50" s="29" t="n">
        <f aca="false">IFERROR(INDEX(Bank_Statement!$F$6:$F$303,MATCH(G50,Bank_Statement!$C$6:$C$303,0)),"Not in bank")</f>
        <v>149207</v>
      </c>
      <c r="I50" s="44" t="n">
        <f aca="false">IF(ISNUMBER(H50),H50-F50,"")</f>
        <v>0</v>
      </c>
      <c r="J50" s="27" t="str">
        <f aca="false">IF(NOT(ISNUMBER(H50)),"Not in bank",IF(ABS(I50)&lt;=Setup!$B$9,"Matched","Amount difference"))</f>
        <v>Matched</v>
      </c>
    </row>
    <row r="51" customFormat="false" ht="15" hidden="false" customHeight="false" outlineLevel="0" collapsed="false">
      <c r="A51" s="41" t="n">
        <v>46147</v>
      </c>
      <c r="B51" s="5" t="s">
        <v>963</v>
      </c>
      <c r="C51" s="45" t="s">
        <v>898</v>
      </c>
      <c r="D51" s="5" t="s">
        <v>892</v>
      </c>
      <c r="E51" s="43" t="n">
        <v>95000</v>
      </c>
      <c r="F51" s="44" t="n">
        <f aca="false">IF(D51="Receipt",E51,-E51)</f>
        <v>-95000</v>
      </c>
      <c r="G51" s="5" t="s">
        <v>964</v>
      </c>
      <c r="H51" s="29" t="n">
        <f aca="false">IFERROR(INDEX(Bank_Statement!$F$6:$F$303,MATCH(G51,Bank_Statement!$C$6:$C$303,0)),"Not in bank")</f>
        <v>-95000</v>
      </c>
      <c r="I51" s="44" t="n">
        <f aca="false">IF(ISNUMBER(H51),H51-F51,"")</f>
        <v>0</v>
      </c>
      <c r="J51" s="27" t="str">
        <f aca="false">IF(NOT(ISNUMBER(H51)),"Not in bank",IF(ABS(I51)&lt;=Setup!$B$9,"Matched","Amount difference"))</f>
        <v>Matched</v>
      </c>
    </row>
    <row r="52" customFormat="false" ht="15" hidden="false" customHeight="false" outlineLevel="0" collapsed="false">
      <c r="A52" s="41" t="n">
        <v>46151</v>
      </c>
      <c r="B52" s="5" t="s">
        <v>472</v>
      </c>
      <c r="C52" s="45" t="s">
        <v>921</v>
      </c>
      <c r="D52" s="5" t="s">
        <v>901</v>
      </c>
      <c r="E52" s="43" t="n">
        <v>24347</v>
      </c>
      <c r="F52" s="44" t="n">
        <f aca="false">IF(D52="Receipt",E52,-E52)</f>
        <v>24347</v>
      </c>
      <c r="G52" s="5" t="s">
        <v>473</v>
      </c>
      <c r="H52" s="29" t="n">
        <f aca="false">IFERROR(INDEX(Bank_Statement!$F$6:$F$303,MATCH(G52,Bank_Statement!$C$6:$C$303,0)),"Not in bank")</f>
        <v>24347</v>
      </c>
      <c r="I52" s="44" t="n">
        <f aca="false">IF(ISNUMBER(H52),H52-F52,"")</f>
        <v>0</v>
      </c>
      <c r="J52" s="27" t="str">
        <f aca="false">IF(NOT(ISNUMBER(H52)),"Not in bank",IF(ABS(I52)&lt;=Setup!$B$9,"Matched","Amount difference"))</f>
        <v>Matched</v>
      </c>
    </row>
    <row r="53" customFormat="false" ht="15" hidden="false" customHeight="false" outlineLevel="0" collapsed="false">
      <c r="A53" s="41" t="n">
        <v>46152</v>
      </c>
      <c r="B53" s="5" t="s">
        <v>474</v>
      </c>
      <c r="C53" s="45" t="s">
        <v>965</v>
      </c>
      <c r="D53" s="5" t="s">
        <v>901</v>
      </c>
      <c r="E53" s="43" t="n">
        <v>333354</v>
      </c>
      <c r="F53" s="44" t="n">
        <f aca="false">IF(D53="Receipt",E53,-E53)</f>
        <v>333354</v>
      </c>
      <c r="G53" s="5" t="s">
        <v>475</v>
      </c>
      <c r="H53" s="29" t="n">
        <f aca="false">IFERROR(INDEX(Bank_Statement!$F$6:$F$303,MATCH(G53,Bank_Statement!$C$6:$C$303,0)),"Not in bank")</f>
        <v>333354</v>
      </c>
      <c r="I53" s="44" t="n">
        <f aca="false">IF(ISNUMBER(H53),H53-F53,"")</f>
        <v>0</v>
      </c>
      <c r="J53" s="27" t="str">
        <f aca="false">IF(NOT(ISNUMBER(H53)),"Not in bank",IF(ABS(I53)&lt;=Setup!$B$9,"Matched","Amount difference"))</f>
        <v>Matched</v>
      </c>
    </row>
    <row r="54" customFormat="false" ht="15" hidden="false" customHeight="false" outlineLevel="0" collapsed="false">
      <c r="A54" s="41" t="n">
        <v>46152</v>
      </c>
      <c r="B54" s="5" t="s">
        <v>966</v>
      </c>
      <c r="C54" s="45" t="s">
        <v>931</v>
      </c>
      <c r="D54" s="5" t="s">
        <v>892</v>
      </c>
      <c r="E54" s="43" t="n">
        <v>173587</v>
      </c>
      <c r="F54" s="44" t="n">
        <f aca="false">IF(D54="Receipt",E54,-E54)</f>
        <v>-173587</v>
      </c>
      <c r="G54" s="5" t="s">
        <v>967</v>
      </c>
      <c r="H54" s="29" t="n">
        <f aca="false">IFERROR(INDEX(Bank_Statement!$F$6:$F$303,MATCH(G54,Bank_Statement!$C$6:$C$303,0)),"Not in bank")</f>
        <v>-173587</v>
      </c>
      <c r="I54" s="44" t="n">
        <f aca="false">IF(ISNUMBER(H54),H54-F54,"")</f>
        <v>0</v>
      </c>
      <c r="J54" s="27" t="str">
        <f aca="false">IF(NOT(ISNUMBER(H54)),"Not in bank",IF(ABS(I54)&lt;=Setup!$B$9,"Matched","Amount difference"))</f>
        <v>Matched</v>
      </c>
    </row>
    <row r="55" customFormat="false" ht="15" hidden="false" customHeight="false" outlineLevel="0" collapsed="false">
      <c r="A55" s="41" t="n">
        <v>46152</v>
      </c>
      <c r="B55" s="5" t="s">
        <v>968</v>
      </c>
      <c r="C55" s="45" t="s">
        <v>907</v>
      </c>
      <c r="D55" s="5" t="s">
        <v>892</v>
      </c>
      <c r="E55" s="43" t="n">
        <v>2824000</v>
      </c>
      <c r="F55" s="44" t="n">
        <f aca="false">IF(D55="Receipt",E55,-E55)</f>
        <v>-2824000</v>
      </c>
      <c r="G55" s="5" t="s">
        <v>969</v>
      </c>
      <c r="H55" s="29" t="n">
        <f aca="false">IFERROR(INDEX(Bank_Statement!$F$6:$F$303,MATCH(G55,Bank_Statement!$C$6:$C$303,0)),"Not in bank")</f>
        <v>-2824000</v>
      </c>
      <c r="I55" s="44" t="n">
        <f aca="false">IF(ISNUMBER(H55),H55-F55,"")</f>
        <v>0</v>
      </c>
      <c r="J55" s="27" t="str">
        <f aca="false">IF(NOT(ISNUMBER(H55)),"Not in bank",IF(ABS(I55)&lt;=Setup!$B$9,"Matched","Amount difference"))</f>
        <v>Matched</v>
      </c>
    </row>
    <row r="56" customFormat="false" ht="15" hidden="false" customHeight="false" outlineLevel="0" collapsed="false">
      <c r="A56" s="41" t="n">
        <v>46153</v>
      </c>
      <c r="B56" s="5" t="s">
        <v>476</v>
      </c>
      <c r="C56" s="45" t="s">
        <v>970</v>
      </c>
      <c r="D56" s="5" t="s">
        <v>901</v>
      </c>
      <c r="E56" s="43" t="n">
        <v>270089</v>
      </c>
      <c r="F56" s="44" t="n">
        <f aca="false">IF(D56="Receipt",E56,-E56)</f>
        <v>270089</v>
      </c>
      <c r="G56" s="5" t="s">
        <v>477</v>
      </c>
      <c r="H56" s="29" t="n">
        <f aca="false">IFERROR(INDEX(Bank_Statement!$F$6:$F$303,MATCH(G56,Bank_Statement!$C$6:$C$303,0)),"Not in bank")</f>
        <v>270089</v>
      </c>
      <c r="I56" s="44" t="n">
        <f aca="false">IF(ISNUMBER(H56),H56-F56,"")</f>
        <v>0</v>
      </c>
      <c r="J56" s="27" t="str">
        <f aca="false">IF(NOT(ISNUMBER(H56)),"Not in bank",IF(ABS(I56)&lt;=Setup!$B$9,"Matched","Amount difference"))</f>
        <v>Matched</v>
      </c>
    </row>
    <row r="57" customFormat="false" ht="15" hidden="false" customHeight="false" outlineLevel="0" collapsed="false">
      <c r="A57" s="41" t="n">
        <v>46153</v>
      </c>
      <c r="B57" s="5" t="s">
        <v>478</v>
      </c>
      <c r="C57" s="45" t="s">
        <v>971</v>
      </c>
      <c r="D57" s="5" t="s">
        <v>901</v>
      </c>
      <c r="E57" s="43" t="n">
        <v>502205</v>
      </c>
      <c r="F57" s="44" t="n">
        <f aca="false">IF(D57="Receipt",E57,-E57)</f>
        <v>502205</v>
      </c>
      <c r="G57" s="5" t="s">
        <v>479</v>
      </c>
      <c r="H57" s="29" t="n">
        <f aca="false">IFERROR(INDEX(Bank_Statement!$F$6:$F$303,MATCH(G57,Bank_Statement!$C$6:$C$303,0)),"Not in bank")</f>
        <v>502205</v>
      </c>
      <c r="I57" s="44" t="n">
        <f aca="false">IF(ISNUMBER(H57),H57-F57,"")</f>
        <v>0</v>
      </c>
      <c r="J57" s="27" t="str">
        <f aca="false">IF(NOT(ISNUMBER(H57)),"Not in bank",IF(ABS(I57)&lt;=Setup!$B$9,"Matched","Amount difference"))</f>
        <v>Matched</v>
      </c>
    </row>
    <row r="58" customFormat="false" ht="15" hidden="false" customHeight="false" outlineLevel="0" collapsed="false">
      <c r="A58" s="41" t="n">
        <v>46154</v>
      </c>
      <c r="B58" s="5" t="s">
        <v>480</v>
      </c>
      <c r="C58" s="45" t="s">
        <v>972</v>
      </c>
      <c r="D58" s="5" t="s">
        <v>901</v>
      </c>
      <c r="E58" s="43" t="n">
        <v>363662</v>
      </c>
      <c r="F58" s="44" t="n">
        <f aca="false">IF(D58="Receipt",E58,-E58)</f>
        <v>363662</v>
      </c>
      <c r="G58" s="5" t="s">
        <v>481</v>
      </c>
      <c r="H58" s="29" t="n">
        <f aca="false">IFERROR(INDEX(Bank_Statement!$F$6:$F$303,MATCH(G58,Bank_Statement!$C$6:$C$303,0)),"Not in bank")</f>
        <v>363662</v>
      </c>
      <c r="I58" s="44" t="n">
        <f aca="false">IF(ISNUMBER(H58),H58-F58,"")</f>
        <v>0</v>
      </c>
      <c r="J58" s="27" t="str">
        <f aca="false">IF(NOT(ISNUMBER(H58)),"Not in bank",IF(ABS(I58)&lt;=Setup!$B$9,"Matched","Amount difference"))</f>
        <v>Matched</v>
      </c>
    </row>
    <row r="59" customFormat="false" ht="15" hidden="false" customHeight="false" outlineLevel="0" collapsed="false">
      <c r="A59" s="41" t="n">
        <v>46154</v>
      </c>
      <c r="B59" s="5" t="s">
        <v>973</v>
      </c>
      <c r="C59" s="45" t="s">
        <v>904</v>
      </c>
      <c r="D59" s="5" t="s">
        <v>892</v>
      </c>
      <c r="E59" s="43" t="n">
        <v>110197</v>
      </c>
      <c r="F59" s="44" t="n">
        <f aca="false">IF(D59="Receipt",E59,-E59)</f>
        <v>-110197</v>
      </c>
      <c r="G59" s="5" t="s">
        <v>974</v>
      </c>
      <c r="H59" s="29" t="n">
        <f aca="false">IFERROR(INDEX(Bank_Statement!$F$6:$F$303,MATCH(G59,Bank_Statement!$C$6:$C$303,0)),"Not in bank")</f>
        <v>-110197</v>
      </c>
      <c r="I59" s="44" t="n">
        <f aca="false">IF(ISNUMBER(H59),H59-F59,"")</f>
        <v>0</v>
      </c>
      <c r="J59" s="27" t="str">
        <f aca="false">IF(NOT(ISNUMBER(H59)),"Not in bank",IF(ABS(I59)&lt;=Setup!$B$9,"Matched","Amount difference"))</f>
        <v>Matched</v>
      </c>
    </row>
    <row r="60" customFormat="false" ht="15" hidden="false" customHeight="false" outlineLevel="0" collapsed="false">
      <c r="A60" s="41" t="n">
        <v>46155</v>
      </c>
      <c r="B60" s="5" t="s">
        <v>482</v>
      </c>
      <c r="C60" s="45" t="s">
        <v>975</v>
      </c>
      <c r="D60" s="5" t="s">
        <v>901</v>
      </c>
      <c r="E60" s="43" t="n">
        <v>107216</v>
      </c>
      <c r="F60" s="44" t="n">
        <f aca="false">IF(D60="Receipt",E60,-E60)</f>
        <v>107216</v>
      </c>
      <c r="G60" s="5" t="s">
        <v>483</v>
      </c>
      <c r="H60" s="29" t="n">
        <f aca="false">IFERROR(INDEX(Bank_Statement!$F$6:$F$303,MATCH(G60,Bank_Statement!$C$6:$C$303,0)),"Not in bank")</f>
        <v>107216</v>
      </c>
      <c r="I60" s="44" t="n">
        <f aca="false">IF(ISNUMBER(H60),H60-F60,"")</f>
        <v>0</v>
      </c>
      <c r="J60" s="27" t="str">
        <f aca="false">IF(NOT(ISNUMBER(H60)),"Not in bank",IF(ABS(I60)&lt;=Setup!$B$9,"Matched","Amount difference"))</f>
        <v>Matched</v>
      </c>
    </row>
    <row r="61" customFormat="false" ht="15" hidden="false" customHeight="false" outlineLevel="0" collapsed="false">
      <c r="A61" s="41" t="n">
        <v>46155</v>
      </c>
      <c r="B61" s="5" t="s">
        <v>976</v>
      </c>
      <c r="C61" s="45" t="s">
        <v>904</v>
      </c>
      <c r="D61" s="5" t="s">
        <v>892</v>
      </c>
      <c r="E61" s="43" t="n">
        <v>186944</v>
      </c>
      <c r="F61" s="44" t="n">
        <f aca="false">IF(D61="Receipt",E61,-E61)</f>
        <v>-186944</v>
      </c>
      <c r="G61" s="5" t="s">
        <v>977</v>
      </c>
      <c r="H61" s="29" t="n">
        <f aca="false">IFERROR(INDEX(Bank_Statement!$F$6:$F$303,MATCH(G61,Bank_Statement!$C$6:$C$303,0)),"Not in bank")</f>
        <v>-186944</v>
      </c>
      <c r="I61" s="44" t="n">
        <f aca="false">IF(ISNUMBER(H61),H61-F61,"")</f>
        <v>0</v>
      </c>
      <c r="J61" s="27" t="str">
        <f aca="false">IF(NOT(ISNUMBER(H61)),"Not in bank",IF(ABS(I61)&lt;=Setup!$B$9,"Matched","Amount difference"))</f>
        <v>Matched</v>
      </c>
    </row>
    <row r="62" customFormat="false" ht="15" hidden="false" customHeight="false" outlineLevel="0" collapsed="false">
      <c r="A62" s="41" t="n">
        <v>46156</v>
      </c>
      <c r="B62" s="5" t="s">
        <v>484</v>
      </c>
      <c r="C62" s="45" t="s">
        <v>978</v>
      </c>
      <c r="D62" s="5" t="s">
        <v>901</v>
      </c>
      <c r="E62" s="43" t="n">
        <v>73108</v>
      </c>
      <c r="F62" s="44" t="n">
        <f aca="false">IF(D62="Receipt",E62,-E62)</f>
        <v>73108</v>
      </c>
      <c r="G62" s="5" t="s">
        <v>485</v>
      </c>
      <c r="H62" s="29" t="n">
        <f aca="false">IFERROR(INDEX(Bank_Statement!$F$6:$F$303,MATCH(G62,Bank_Statement!$C$6:$C$303,0)),"Not in bank")</f>
        <v>73108</v>
      </c>
      <c r="I62" s="44" t="n">
        <f aca="false">IF(ISNUMBER(H62),H62-F62,"")</f>
        <v>0</v>
      </c>
      <c r="J62" s="27" t="str">
        <f aca="false">IF(NOT(ISNUMBER(H62)),"Not in bank",IF(ABS(I62)&lt;=Setup!$B$9,"Matched","Amount difference"))</f>
        <v>Matched</v>
      </c>
    </row>
    <row r="63" customFormat="false" ht="15" hidden="false" customHeight="false" outlineLevel="0" collapsed="false">
      <c r="A63" s="41" t="n">
        <v>46157</v>
      </c>
      <c r="B63" s="5" t="s">
        <v>486</v>
      </c>
      <c r="C63" s="45" t="s">
        <v>922</v>
      </c>
      <c r="D63" s="5" t="s">
        <v>901</v>
      </c>
      <c r="E63" s="43" t="n">
        <v>88115</v>
      </c>
      <c r="F63" s="44" t="n">
        <f aca="false">IF(D63="Receipt",E63,-E63)</f>
        <v>88115</v>
      </c>
      <c r="G63" s="5" t="s">
        <v>487</v>
      </c>
      <c r="H63" s="29" t="n">
        <f aca="false">IFERROR(INDEX(Bank_Statement!$F$6:$F$303,MATCH(G63,Bank_Statement!$C$6:$C$303,0)),"Not in bank")</f>
        <v>88115</v>
      </c>
      <c r="I63" s="44" t="n">
        <f aca="false">IF(ISNUMBER(H63),H63-F63,"")</f>
        <v>0</v>
      </c>
      <c r="J63" s="27" t="str">
        <f aca="false">IF(NOT(ISNUMBER(H63)),"Not in bank",IF(ABS(I63)&lt;=Setup!$B$9,"Matched","Amount difference"))</f>
        <v>Matched</v>
      </c>
    </row>
    <row r="64" customFormat="false" ht="15" hidden="false" customHeight="false" outlineLevel="0" collapsed="false">
      <c r="A64" s="41" t="n">
        <v>46157</v>
      </c>
      <c r="B64" s="5" t="s">
        <v>488</v>
      </c>
      <c r="C64" s="45" t="s">
        <v>979</v>
      </c>
      <c r="D64" s="5" t="s">
        <v>901</v>
      </c>
      <c r="E64" s="43" t="n">
        <v>438704</v>
      </c>
      <c r="F64" s="44" t="n">
        <f aca="false">IF(D64="Receipt",E64,-E64)</f>
        <v>438704</v>
      </c>
      <c r="G64" s="5" t="s">
        <v>489</v>
      </c>
      <c r="H64" s="29" t="n">
        <f aca="false">IFERROR(INDEX(Bank_Statement!$F$6:$F$303,MATCH(G64,Bank_Statement!$C$6:$C$303,0)),"Not in bank")</f>
        <v>438704</v>
      </c>
      <c r="I64" s="44" t="n">
        <f aca="false">IF(ISNUMBER(H64),H64-F64,"")</f>
        <v>0</v>
      </c>
      <c r="J64" s="27" t="str">
        <f aca="false">IF(NOT(ISNUMBER(H64)),"Not in bank",IF(ABS(I64)&lt;=Setup!$B$9,"Matched","Amount difference"))</f>
        <v>Matched</v>
      </c>
    </row>
    <row r="65" customFormat="false" ht="15" hidden="false" customHeight="false" outlineLevel="0" collapsed="false">
      <c r="A65" s="41" t="n">
        <v>46157</v>
      </c>
      <c r="B65" s="5" t="s">
        <v>490</v>
      </c>
      <c r="C65" s="45" t="s">
        <v>980</v>
      </c>
      <c r="D65" s="5" t="s">
        <v>901</v>
      </c>
      <c r="E65" s="43" t="n">
        <v>51930</v>
      </c>
      <c r="F65" s="44" t="n">
        <f aca="false">IF(D65="Receipt",E65,-E65)</f>
        <v>51930</v>
      </c>
      <c r="G65" s="5" t="s">
        <v>491</v>
      </c>
      <c r="H65" s="29" t="n">
        <f aca="false">IFERROR(INDEX(Bank_Statement!$F$6:$F$303,MATCH(G65,Bank_Statement!$C$6:$C$303,0)),"Not in bank")</f>
        <v>51930</v>
      </c>
      <c r="I65" s="44" t="n">
        <f aca="false">IF(ISNUMBER(H65),H65-F65,"")</f>
        <v>0</v>
      </c>
      <c r="J65" s="27" t="str">
        <f aca="false">IF(NOT(ISNUMBER(H65)),"Not in bank",IF(ABS(I65)&lt;=Setup!$B$9,"Matched","Amount difference"))</f>
        <v>Matched</v>
      </c>
    </row>
    <row r="66" customFormat="false" ht="15" hidden="false" customHeight="false" outlineLevel="0" collapsed="false">
      <c r="A66" s="41" t="n">
        <v>46157</v>
      </c>
      <c r="B66" s="5" t="s">
        <v>492</v>
      </c>
      <c r="C66" s="45" t="s">
        <v>981</v>
      </c>
      <c r="D66" s="5" t="s">
        <v>901</v>
      </c>
      <c r="E66" s="43" t="n">
        <v>63474</v>
      </c>
      <c r="F66" s="44" t="n">
        <f aca="false">IF(D66="Receipt",E66,-E66)</f>
        <v>63474</v>
      </c>
      <c r="G66" s="5" t="s">
        <v>493</v>
      </c>
      <c r="H66" s="29" t="n">
        <f aca="false">IFERROR(INDEX(Bank_Statement!$F$6:$F$303,MATCH(G66,Bank_Statement!$C$6:$C$303,0)),"Not in bank")</f>
        <v>63474</v>
      </c>
      <c r="I66" s="44" t="n">
        <f aca="false">IF(ISNUMBER(H66),H66-F66,"")</f>
        <v>0</v>
      </c>
      <c r="J66" s="27" t="str">
        <f aca="false">IF(NOT(ISNUMBER(H66)),"Not in bank",IF(ABS(I66)&lt;=Setup!$B$9,"Matched","Amount difference"))</f>
        <v>Matched</v>
      </c>
    </row>
    <row r="67" customFormat="false" ht="15" hidden="false" customHeight="false" outlineLevel="0" collapsed="false">
      <c r="A67" s="41" t="n">
        <v>46159</v>
      </c>
      <c r="B67" s="5" t="s">
        <v>494</v>
      </c>
      <c r="C67" s="45" t="s">
        <v>982</v>
      </c>
      <c r="D67" s="5" t="s">
        <v>901</v>
      </c>
      <c r="E67" s="43" t="n">
        <v>557656</v>
      </c>
      <c r="F67" s="44" t="n">
        <f aca="false">IF(D67="Receipt",E67,-E67)</f>
        <v>557656</v>
      </c>
      <c r="G67" s="5" t="s">
        <v>495</v>
      </c>
      <c r="H67" s="29" t="n">
        <f aca="false">IFERROR(INDEX(Bank_Statement!$F$6:$F$303,MATCH(G67,Bank_Statement!$C$6:$C$303,0)),"Not in bank")</f>
        <v>557656</v>
      </c>
      <c r="I67" s="44" t="n">
        <f aca="false">IF(ISNUMBER(H67),H67-F67,"")</f>
        <v>0</v>
      </c>
      <c r="J67" s="27" t="str">
        <f aca="false">IF(NOT(ISNUMBER(H67)),"Not in bank",IF(ABS(I67)&lt;=Setup!$B$9,"Matched","Amount difference"))</f>
        <v>Matched</v>
      </c>
    </row>
    <row r="68" customFormat="false" ht="15" hidden="false" customHeight="false" outlineLevel="0" collapsed="false">
      <c r="A68" s="41" t="n">
        <v>46161</v>
      </c>
      <c r="B68" s="5" t="s">
        <v>496</v>
      </c>
      <c r="C68" s="45" t="s">
        <v>983</v>
      </c>
      <c r="D68" s="5" t="s">
        <v>901</v>
      </c>
      <c r="E68" s="43" t="n">
        <v>177297</v>
      </c>
      <c r="F68" s="44" t="n">
        <f aca="false">IF(D68="Receipt",E68,-E68)</f>
        <v>177297</v>
      </c>
      <c r="G68" s="5" t="s">
        <v>497</v>
      </c>
      <c r="H68" s="29" t="n">
        <f aca="false">IFERROR(INDEX(Bank_Statement!$F$6:$F$303,MATCH(G68,Bank_Statement!$C$6:$C$303,0)),"Not in bank")</f>
        <v>177297</v>
      </c>
      <c r="I68" s="44" t="n">
        <f aca="false">IF(ISNUMBER(H68),H68-F68,"")</f>
        <v>0</v>
      </c>
      <c r="J68" s="27" t="str">
        <f aca="false">IF(NOT(ISNUMBER(H68)),"Not in bank",IF(ABS(I68)&lt;=Setup!$B$9,"Matched","Amount difference"))</f>
        <v>Matched</v>
      </c>
    </row>
    <row r="69" customFormat="false" ht="15" hidden="false" customHeight="false" outlineLevel="0" collapsed="false">
      <c r="A69" s="41" t="n">
        <v>46162</v>
      </c>
      <c r="B69" s="5" t="s">
        <v>984</v>
      </c>
      <c r="C69" s="45" t="s">
        <v>924</v>
      </c>
      <c r="D69" s="5" t="s">
        <v>892</v>
      </c>
      <c r="E69" s="43" t="n">
        <v>200000</v>
      </c>
      <c r="F69" s="44" t="n">
        <f aca="false">IF(D69="Receipt",E69,-E69)</f>
        <v>-200000</v>
      </c>
      <c r="G69" s="5" t="s">
        <v>985</v>
      </c>
      <c r="H69" s="29" t="n">
        <f aca="false">IFERROR(INDEX(Bank_Statement!$F$6:$F$303,MATCH(G69,Bank_Statement!$C$6:$C$303,0)),"Not in bank")</f>
        <v>-200000</v>
      </c>
      <c r="I69" s="44" t="n">
        <f aca="false">IF(ISNUMBER(H69),H69-F69,"")</f>
        <v>0</v>
      </c>
      <c r="J69" s="27" t="str">
        <f aca="false">IF(NOT(ISNUMBER(H69)),"Not in bank",IF(ABS(I69)&lt;=Setup!$B$9,"Matched","Amount difference"))</f>
        <v>Matched</v>
      </c>
    </row>
    <row r="70" customFormat="false" ht="15" hidden="false" customHeight="false" outlineLevel="0" collapsed="false">
      <c r="A70" s="41" t="n">
        <v>46163</v>
      </c>
      <c r="B70" s="5" t="s">
        <v>498</v>
      </c>
      <c r="C70" s="45" t="s">
        <v>986</v>
      </c>
      <c r="D70" s="5" t="s">
        <v>901</v>
      </c>
      <c r="E70" s="43" t="n">
        <v>290814</v>
      </c>
      <c r="F70" s="44" t="n">
        <f aca="false">IF(D70="Receipt",E70,-E70)</f>
        <v>290814</v>
      </c>
      <c r="G70" s="5" t="s">
        <v>499</v>
      </c>
      <c r="H70" s="29" t="n">
        <f aca="false">IFERROR(INDEX(Bank_Statement!$F$6:$F$303,MATCH(G70,Bank_Statement!$C$6:$C$303,0)),"Not in bank")</f>
        <v>290814</v>
      </c>
      <c r="I70" s="44" t="n">
        <f aca="false">IF(ISNUMBER(H70),H70-F70,"")</f>
        <v>0</v>
      </c>
      <c r="J70" s="27" t="str">
        <f aca="false">IF(NOT(ISNUMBER(H70)),"Not in bank",IF(ABS(I70)&lt;=Setup!$B$9,"Matched","Amount difference"))</f>
        <v>Matched</v>
      </c>
    </row>
    <row r="71" customFormat="false" ht="15" hidden="false" customHeight="false" outlineLevel="0" collapsed="false">
      <c r="A71" s="41" t="n">
        <v>46163</v>
      </c>
      <c r="B71" s="5" t="s">
        <v>500</v>
      </c>
      <c r="C71" s="45" t="s">
        <v>987</v>
      </c>
      <c r="D71" s="5" t="s">
        <v>901</v>
      </c>
      <c r="E71" s="43" t="n">
        <v>361682</v>
      </c>
      <c r="F71" s="44" t="n">
        <f aca="false">IF(D71="Receipt",E71,-E71)</f>
        <v>361682</v>
      </c>
      <c r="G71" s="5" t="s">
        <v>501</v>
      </c>
      <c r="H71" s="29" t="n">
        <f aca="false">IFERROR(INDEX(Bank_Statement!$F$6:$F$303,MATCH(G71,Bank_Statement!$C$6:$C$303,0)),"Not in bank")</f>
        <v>361682</v>
      </c>
      <c r="I71" s="44" t="n">
        <f aca="false">IF(ISNUMBER(H71),H71-F71,"")</f>
        <v>0</v>
      </c>
      <c r="J71" s="27" t="str">
        <f aca="false">IF(NOT(ISNUMBER(H71)),"Not in bank",IF(ABS(I71)&lt;=Setup!$B$9,"Matched","Amount difference"))</f>
        <v>Matched</v>
      </c>
    </row>
    <row r="72" customFormat="false" ht="15" hidden="false" customHeight="false" outlineLevel="0" collapsed="false">
      <c r="A72" s="41" t="n">
        <v>46163</v>
      </c>
      <c r="B72" s="5" t="s">
        <v>502</v>
      </c>
      <c r="C72" s="45" t="s">
        <v>988</v>
      </c>
      <c r="D72" s="5" t="s">
        <v>901</v>
      </c>
      <c r="E72" s="43" t="n">
        <v>321987</v>
      </c>
      <c r="F72" s="44" t="n">
        <f aca="false">IF(D72="Receipt",E72,-E72)</f>
        <v>321987</v>
      </c>
      <c r="G72" s="5" t="s">
        <v>503</v>
      </c>
      <c r="H72" s="29" t="n">
        <f aca="false">IFERROR(INDEX(Bank_Statement!$F$6:$F$303,MATCH(G72,Bank_Statement!$C$6:$C$303,0)),"Not in bank")</f>
        <v>321987</v>
      </c>
      <c r="I72" s="44" t="n">
        <f aca="false">IF(ISNUMBER(H72),H72-F72,"")</f>
        <v>0</v>
      </c>
      <c r="J72" s="27" t="str">
        <f aca="false">IF(NOT(ISNUMBER(H72)),"Not in bank",IF(ABS(I72)&lt;=Setup!$B$9,"Matched","Amount difference"))</f>
        <v>Matched</v>
      </c>
    </row>
    <row r="73" customFormat="false" ht="15" hidden="false" customHeight="false" outlineLevel="0" collapsed="false">
      <c r="A73" s="41" t="n">
        <v>46164</v>
      </c>
      <c r="B73" s="5" t="s">
        <v>504</v>
      </c>
      <c r="C73" s="45" t="s">
        <v>989</v>
      </c>
      <c r="D73" s="5" t="s">
        <v>901</v>
      </c>
      <c r="E73" s="43" t="n">
        <v>232774</v>
      </c>
      <c r="F73" s="44" t="n">
        <f aca="false">IF(D73="Receipt",E73,-E73)</f>
        <v>232774</v>
      </c>
      <c r="G73" s="5" t="s">
        <v>505</v>
      </c>
      <c r="H73" s="29" t="n">
        <f aca="false">IFERROR(INDEX(Bank_Statement!$F$6:$F$303,MATCH(G73,Bank_Statement!$C$6:$C$303,0)),"Not in bank")</f>
        <v>232774</v>
      </c>
      <c r="I73" s="44" t="n">
        <f aca="false">IF(ISNUMBER(H73),H73-F73,"")</f>
        <v>0</v>
      </c>
      <c r="J73" s="27" t="str">
        <f aca="false">IF(NOT(ISNUMBER(H73)),"Not in bank",IF(ABS(I73)&lt;=Setup!$B$9,"Matched","Amount difference"))</f>
        <v>Matched</v>
      </c>
    </row>
    <row r="74" customFormat="false" ht="15" hidden="false" customHeight="false" outlineLevel="0" collapsed="false">
      <c r="A74" s="41" t="n">
        <v>46165</v>
      </c>
      <c r="B74" s="5" t="s">
        <v>506</v>
      </c>
      <c r="C74" s="45" t="s">
        <v>990</v>
      </c>
      <c r="D74" s="5" t="s">
        <v>901</v>
      </c>
      <c r="E74" s="43" t="n">
        <v>85123</v>
      </c>
      <c r="F74" s="44" t="n">
        <f aca="false">IF(D74="Receipt",E74,-E74)</f>
        <v>85123</v>
      </c>
      <c r="G74" s="5" t="s">
        <v>507</v>
      </c>
      <c r="H74" s="29" t="n">
        <f aca="false">IFERROR(INDEX(Bank_Statement!$F$6:$F$303,MATCH(G74,Bank_Statement!$C$6:$C$303,0)),"Not in bank")</f>
        <v>85123</v>
      </c>
      <c r="I74" s="44" t="n">
        <f aca="false">IF(ISNUMBER(H74),H74-F74,"")</f>
        <v>0</v>
      </c>
      <c r="J74" s="27" t="str">
        <f aca="false">IF(NOT(ISNUMBER(H74)),"Not in bank",IF(ABS(I74)&lt;=Setup!$B$9,"Matched","Amount difference"))</f>
        <v>Matched</v>
      </c>
    </row>
    <row r="75" customFormat="false" ht="15" hidden="false" customHeight="false" outlineLevel="0" collapsed="false">
      <c r="A75" s="41" t="n">
        <v>46166</v>
      </c>
      <c r="B75" s="5" t="s">
        <v>508</v>
      </c>
      <c r="C75" s="45" t="s">
        <v>991</v>
      </c>
      <c r="D75" s="5" t="s">
        <v>901</v>
      </c>
      <c r="E75" s="43" t="n">
        <v>260378</v>
      </c>
      <c r="F75" s="44" t="n">
        <f aca="false">IF(D75="Receipt",E75,-E75)</f>
        <v>260378</v>
      </c>
      <c r="G75" s="5" t="s">
        <v>509</v>
      </c>
      <c r="H75" s="29" t="n">
        <f aca="false">IFERROR(INDEX(Bank_Statement!$F$6:$F$303,MATCH(G75,Bank_Statement!$C$6:$C$303,0)),"Not in bank")</f>
        <v>260378</v>
      </c>
      <c r="I75" s="44" t="n">
        <f aca="false">IF(ISNUMBER(H75),H75-F75,"")</f>
        <v>0</v>
      </c>
      <c r="J75" s="27" t="str">
        <f aca="false">IF(NOT(ISNUMBER(H75)),"Not in bank",IF(ABS(I75)&lt;=Setup!$B$9,"Matched","Amount difference"))</f>
        <v>Matched</v>
      </c>
    </row>
    <row r="76" customFormat="false" ht="15" hidden="false" customHeight="false" outlineLevel="0" collapsed="false">
      <c r="A76" s="41" t="n">
        <v>46166</v>
      </c>
      <c r="B76" s="5" t="s">
        <v>992</v>
      </c>
      <c r="C76" s="45" t="s">
        <v>907</v>
      </c>
      <c r="D76" s="5" t="s">
        <v>892</v>
      </c>
      <c r="E76" s="43" t="n">
        <v>3652000</v>
      </c>
      <c r="F76" s="44" t="n">
        <f aca="false">IF(D76="Receipt",E76,-E76)</f>
        <v>-3652000</v>
      </c>
      <c r="G76" s="5" t="s">
        <v>993</v>
      </c>
      <c r="H76" s="29" t="n">
        <f aca="false">IFERROR(INDEX(Bank_Statement!$F$6:$F$303,MATCH(G76,Bank_Statement!$C$6:$C$303,0)),"Not in bank")</f>
        <v>-3652000</v>
      </c>
      <c r="I76" s="44" t="n">
        <f aca="false">IF(ISNUMBER(H76),H76-F76,"")</f>
        <v>0</v>
      </c>
      <c r="J76" s="27" t="str">
        <f aca="false">IF(NOT(ISNUMBER(H76)),"Not in bank",IF(ABS(I76)&lt;=Setup!$B$9,"Matched","Amount difference"))</f>
        <v>Matched</v>
      </c>
    </row>
    <row r="77" customFormat="false" ht="15" hidden="false" customHeight="false" outlineLevel="0" collapsed="false">
      <c r="A77" s="41" t="n">
        <v>46167</v>
      </c>
      <c r="B77" s="5" t="s">
        <v>510</v>
      </c>
      <c r="C77" s="45" t="s">
        <v>994</v>
      </c>
      <c r="D77" s="5" t="s">
        <v>901</v>
      </c>
      <c r="E77" s="43" t="n">
        <v>115204</v>
      </c>
      <c r="F77" s="44" t="n">
        <f aca="false">IF(D77="Receipt",E77,-E77)</f>
        <v>115204</v>
      </c>
      <c r="G77" s="5" t="s">
        <v>511</v>
      </c>
      <c r="H77" s="29" t="n">
        <f aca="false">IFERROR(INDEX(Bank_Statement!$F$6:$F$303,MATCH(G77,Bank_Statement!$C$6:$C$303,0)),"Not in bank")</f>
        <v>115204</v>
      </c>
      <c r="I77" s="44" t="n">
        <f aca="false">IF(ISNUMBER(H77),H77-F77,"")</f>
        <v>0</v>
      </c>
      <c r="J77" s="27" t="str">
        <f aca="false">IF(NOT(ISNUMBER(H77)),"Not in bank",IF(ABS(I77)&lt;=Setup!$B$9,"Matched","Amount difference"))</f>
        <v>Matched</v>
      </c>
    </row>
    <row r="78" customFormat="false" ht="15" hidden="false" customHeight="false" outlineLevel="0" collapsed="false">
      <c r="A78" s="41" t="n">
        <v>46167</v>
      </c>
      <c r="B78" s="5" t="s">
        <v>512</v>
      </c>
      <c r="C78" s="45" t="s">
        <v>995</v>
      </c>
      <c r="D78" s="5" t="s">
        <v>901</v>
      </c>
      <c r="E78" s="43" t="n">
        <v>543226</v>
      </c>
      <c r="F78" s="44" t="n">
        <f aca="false">IF(D78="Receipt",E78,-E78)</f>
        <v>543226</v>
      </c>
      <c r="G78" s="5" t="s">
        <v>513</v>
      </c>
      <c r="H78" s="29" t="n">
        <f aca="false">IFERROR(INDEX(Bank_Statement!$F$6:$F$303,MATCH(G78,Bank_Statement!$C$6:$C$303,0)),"Not in bank")</f>
        <v>543226</v>
      </c>
      <c r="I78" s="44" t="n">
        <f aca="false">IF(ISNUMBER(H78),H78-F78,"")</f>
        <v>0</v>
      </c>
      <c r="J78" s="27" t="str">
        <f aca="false">IF(NOT(ISNUMBER(H78)),"Not in bank",IF(ABS(I78)&lt;=Setup!$B$9,"Matched","Amount difference"))</f>
        <v>Matched</v>
      </c>
    </row>
    <row r="79" customFormat="false" ht="15" hidden="false" customHeight="false" outlineLevel="0" collapsed="false">
      <c r="A79" s="41" t="n">
        <v>46167</v>
      </c>
      <c r="B79" s="5" t="s">
        <v>514</v>
      </c>
      <c r="C79" s="45" t="s">
        <v>981</v>
      </c>
      <c r="D79" s="5" t="s">
        <v>901</v>
      </c>
      <c r="E79" s="43" t="n">
        <v>53409</v>
      </c>
      <c r="F79" s="44" t="n">
        <f aca="false">IF(D79="Receipt",E79,-E79)</f>
        <v>53409</v>
      </c>
      <c r="G79" s="5" t="s">
        <v>515</v>
      </c>
      <c r="H79" s="29" t="n">
        <f aca="false">IFERROR(INDEX(Bank_Statement!$F$6:$F$303,MATCH(G79,Bank_Statement!$C$6:$C$303,0)),"Not in bank")</f>
        <v>53409</v>
      </c>
      <c r="I79" s="44" t="n">
        <f aca="false">IF(ISNUMBER(H79),H79-F79,"")</f>
        <v>0</v>
      </c>
      <c r="J79" s="27" t="str">
        <f aca="false">IF(NOT(ISNUMBER(H79)),"Not in bank",IF(ABS(I79)&lt;=Setup!$B$9,"Matched","Amount difference"))</f>
        <v>Matched</v>
      </c>
    </row>
    <row r="80" customFormat="false" ht="15" hidden="false" customHeight="false" outlineLevel="0" collapsed="false">
      <c r="A80" s="41" t="n">
        <v>46168</v>
      </c>
      <c r="B80" s="5" t="s">
        <v>516</v>
      </c>
      <c r="C80" s="45" t="s">
        <v>996</v>
      </c>
      <c r="D80" s="5" t="s">
        <v>901</v>
      </c>
      <c r="E80" s="43" t="n">
        <v>436376</v>
      </c>
      <c r="F80" s="44" t="n">
        <f aca="false">IF(D80="Receipt",E80,-E80)</f>
        <v>436376</v>
      </c>
      <c r="G80" s="5" t="s">
        <v>517</v>
      </c>
      <c r="H80" s="29" t="n">
        <f aca="false">IFERROR(INDEX(Bank_Statement!$F$6:$F$303,MATCH(G80,Bank_Statement!$C$6:$C$303,0)),"Not in bank")</f>
        <v>436376</v>
      </c>
      <c r="I80" s="44" t="n">
        <f aca="false">IF(ISNUMBER(H80),H80-F80,"")</f>
        <v>0</v>
      </c>
      <c r="J80" s="27" t="str">
        <f aca="false">IF(NOT(ISNUMBER(H80)),"Not in bank",IF(ABS(I80)&lt;=Setup!$B$9,"Matched","Amount difference"))</f>
        <v>Matched</v>
      </c>
    </row>
    <row r="81" customFormat="false" ht="15" hidden="false" customHeight="false" outlineLevel="0" collapsed="false">
      <c r="A81" s="41" t="n">
        <v>46168</v>
      </c>
      <c r="B81" s="5" t="s">
        <v>997</v>
      </c>
      <c r="C81" s="45" t="s">
        <v>998</v>
      </c>
      <c r="D81" s="5" t="s">
        <v>892</v>
      </c>
      <c r="E81" s="43" t="n">
        <v>149386</v>
      </c>
      <c r="F81" s="44" t="n">
        <f aca="false">IF(D81="Receipt",E81,-E81)</f>
        <v>-149386</v>
      </c>
      <c r="G81" s="5" t="s">
        <v>999</v>
      </c>
      <c r="H81" s="29" t="n">
        <f aca="false">IFERROR(INDEX(Bank_Statement!$F$6:$F$303,MATCH(G81,Bank_Statement!$C$6:$C$303,0)),"Not in bank")</f>
        <v>-149386</v>
      </c>
      <c r="I81" s="44" t="n">
        <f aca="false">IF(ISNUMBER(H81),H81-F81,"")</f>
        <v>0</v>
      </c>
      <c r="J81" s="27" t="str">
        <f aca="false">IF(NOT(ISNUMBER(H81)),"Not in bank",IF(ABS(I81)&lt;=Setup!$B$9,"Matched","Amount difference"))</f>
        <v>Matched</v>
      </c>
    </row>
    <row r="82" customFormat="false" ht="15" hidden="false" customHeight="false" outlineLevel="0" collapsed="false">
      <c r="A82" s="41" t="n">
        <v>46169</v>
      </c>
      <c r="B82" s="5" t="s">
        <v>518</v>
      </c>
      <c r="C82" s="45" t="s">
        <v>1000</v>
      </c>
      <c r="D82" s="5" t="s">
        <v>901</v>
      </c>
      <c r="E82" s="43" t="n">
        <v>142672</v>
      </c>
      <c r="F82" s="44" t="n">
        <f aca="false">IF(D82="Receipt",E82,-E82)</f>
        <v>142672</v>
      </c>
      <c r="G82" s="5" t="s">
        <v>519</v>
      </c>
      <c r="H82" s="29" t="n">
        <f aca="false">IFERROR(INDEX(Bank_Statement!$F$6:$F$303,MATCH(G82,Bank_Statement!$C$6:$C$303,0)),"Not in bank")</f>
        <v>142672</v>
      </c>
      <c r="I82" s="44" t="n">
        <f aca="false">IF(ISNUMBER(H82),H82-F82,"")</f>
        <v>0</v>
      </c>
      <c r="J82" s="27" t="str">
        <f aca="false">IF(NOT(ISNUMBER(H82)),"Not in bank",IF(ABS(I82)&lt;=Setup!$B$9,"Matched","Amount difference"))</f>
        <v>Matched</v>
      </c>
    </row>
    <row r="83" customFormat="false" ht="15" hidden="false" customHeight="false" outlineLevel="0" collapsed="false">
      <c r="A83" s="41" t="n">
        <v>46170</v>
      </c>
      <c r="B83" s="5" t="s">
        <v>520</v>
      </c>
      <c r="C83" s="45" t="s">
        <v>1001</v>
      </c>
      <c r="D83" s="5" t="s">
        <v>901</v>
      </c>
      <c r="E83" s="43" t="n">
        <v>141257</v>
      </c>
      <c r="F83" s="44" t="n">
        <f aca="false">IF(D83="Receipt",E83,-E83)</f>
        <v>141257</v>
      </c>
      <c r="G83" s="5" t="s">
        <v>521</v>
      </c>
      <c r="H83" s="29" t="n">
        <f aca="false">IFERROR(INDEX(Bank_Statement!$F$6:$F$303,MATCH(G83,Bank_Statement!$C$6:$C$303,0)),"Not in bank")</f>
        <v>141257</v>
      </c>
      <c r="I83" s="44" t="n">
        <f aca="false">IF(ISNUMBER(H83),H83-F83,"")</f>
        <v>0</v>
      </c>
      <c r="J83" s="27" t="str">
        <f aca="false">IF(NOT(ISNUMBER(H83)),"Not in bank",IF(ABS(I83)&lt;=Setup!$B$9,"Matched","Amount difference"))</f>
        <v>Matched</v>
      </c>
    </row>
    <row r="84" customFormat="false" ht="15" hidden="false" customHeight="false" outlineLevel="0" collapsed="false">
      <c r="A84" s="41" t="n">
        <v>46170</v>
      </c>
      <c r="B84" s="5" t="s">
        <v>522</v>
      </c>
      <c r="C84" s="45" t="s">
        <v>1002</v>
      </c>
      <c r="D84" s="5" t="s">
        <v>901</v>
      </c>
      <c r="E84" s="43" t="n">
        <v>129349</v>
      </c>
      <c r="F84" s="44" t="n">
        <f aca="false">IF(D84="Receipt",E84,-E84)</f>
        <v>129349</v>
      </c>
      <c r="G84" s="5" t="s">
        <v>523</v>
      </c>
      <c r="H84" s="29" t="n">
        <f aca="false">IFERROR(INDEX(Bank_Statement!$F$6:$F$303,MATCH(G84,Bank_Statement!$C$6:$C$303,0)),"Not in bank")</f>
        <v>129349</v>
      </c>
      <c r="I84" s="44" t="n">
        <f aca="false">IF(ISNUMBER(H84),H84-F84,"")</f>
        <v>0</v>
      </c>
      <c r="J84" s="27" t="str">
        <f aca="false">IF(NOT(ISNUMBER(H84)),"Not in bank",IF(ABS(I84)&lt;=Setup!$B$9,"Matched","Amount difference"))</f>
        <v>Matched</v>
      </c>
    </row>
    <row r="85" customFormat="false" ht="15" hidden="false" customHeight="false" outlineLevel="0" collapsed="false">
      <c r="A85" s="41" t="n">
        <v>46171</v>
      </c>
      <c r="B85" s="5" t="s">
        <v>524</v>
      </c>
      <c r="C85" s="45" t="s">
        <v>1003</v>
      </c>
      <c r="D85" s="5" t="s">
        <v>901</v>
      </c>
      <c r="E85" s="43" t="n">
        <v>489018</v>
      </c>
      <c r="F85" s="44" t="n">
        <f aca="false">IF(D85="Receipt",E85,-E85)</f>
        <v>489018</v>
      </c>
      <c r="G85" s="5" t="s">
        <v>525</v>
      </c>
      <c r="H85" s="29" t="n">
        <f aca="false">IFERROR(INDEX(Bank_Statement!$F$6:$F$303,MATCH(G85,Bank_Statement!$C$6:$C$303,0)),"Not in bank")</f>
        <v>489018</v>
      </c>
      <c r="I85" s="44" t="n">
        <f aca="false">IF(ISNUMBER(H85),H85-F85,"")</f>
        <v>0</v>
      </c>
      <c r="J85" s="27" t="str">
        <f aca="false">IF(NOT(ISNUMBER(H85)),"Not in bank",IF(ABS(I85)&lt;=Setup!$B$9,"Matched","Amount difference"))</f>
        <v>Matched</v>
      </c>
    </row>
    <row r="86" customFormat="false" ht="15" hidden="false" customHeight="false" outlineLevel="0" collapsed="false">
      <c r="A86" s="41" t="n">
        <v>46171</v>
      </c>
      <c r="B86" s="5" t="s">
        <v>1004</v>
      </c>
      <c r="C86" s="45" t="s">
        <v>1005</v>
      </c>
      <c r="D86" s="5" t="s">
        <v>892</v>
      </c>
      <c r="E86" s="43" t="n">
        <v>42658</v>
      </c>
      <c r="F86" s="44" t="n">
        <f aca="false">IF(D86="Receipt",E86,-E86)</f>
        <v>-42658</v>
      </c>
      <c r="G86" s="5" t="s">
        <v>1006</v>
      </c>
      <c r="H86" s="29" t="n">
        <f aca="false">IFERROR(INDEX(Bank_Statement!$F$6:$F$303,MATCH(G86,Bank_Statement!$C$6:$C$303,0)),"Not in bank")</f>
        <v>-42658</v>
      </c>
      <c r="I86" s="44" t="n">
        <f aca="false">IF(ISNUMBER(H86),H86-F86,"")</f>
        <v>0</v>
      </c>
      <c r="J86" s="27" t="str">
        <f aca="false">IF(NOT(ISNUMBER(H86)),"Not in bank",IF(ABS(I86)&lt;=Setup!$B$9,"Matched","Amount difference"))</f>
        <v>Matched</v>
      </c>
    </row>
    <row r="87" customFormat="false" ht="15" hidden="false" customHeight="false" outlineLevel="0" collapsed="false">
      <c r="A87" s="41" t="n">
        <v>46172</v>
      </c>
      <c r="B87" s="5" t="s">
        <v>526</v>
      </c>
      <c r="C87" s="45" t="s">
        <v>1007</v>
      </c>
      <c r="D87" s="5" t="s">
        <v>901</v>
      </c>
      <c r="E87" s="43" t="n">
        <v>234108</v>
      </c>
      <c r="F87" s="44" t="n">
        <f aca="false">IF(D87="Receipt",E87,-E87)</f>
        <v>234108</v>
      </c>
      <c r="G87" s="5" t="s">
        <v>527</v>
      </c>
      <c r="H87" s="29" t="n">
        <f aca="false">IFERROR(INDEX(Bank_Statement!$F$6:$F$303,MATCH(G87,Bank_Statement!$C$6:$C$303,0)),"Not in bank")</f>
        <v>234108</v>
      </c>
      <c r="I87" s="44" t="n">
        <f aca="false">IF(ISNUMBER(H87),H87-F87,"")</f>
        <v>0</v>
      </c>
      <c r="J87" s="27" t="str">
        <f aca="false">IF(NOT(ISNUMBER(H87)),"Not in bank",IF(ABS(I87)&lt;=Setup!$B$9,"Matched","Amount difference"))</f>
        <v>Matched</v>
      </c>
    </row>
    <row r="88" customFormat="false" ht="15" hidden="false" customHeight="false" outlineLevel="0" collapsed="false">
      <c r="A88" s="41" t="n">
        <v>46172</v>
      </c>
      <c r="B88" s="5" t="s">
        <v>528</v>
      </c>
      <c r="C88" s="45" t="s">
        <v>1008</v>
      </c>
      <c r="D88" s="5" t="s">
        <v>901</v>
      </c>
      <c r="E88" s="43" t="n">
        <v>563733</v>
      </c>
      <c r="F88" s="44" t="n">
        <f aca="false">IF(D88="Receipt",E88,-E88)</f>
        <v>563733</v>
      </c>
      <c r="G88" s="5" t="s">
        <v>529</v>
      </c>
      <c r="H88" s="29" t="n">
        <f aca="false">IFERROR(INDEX(Bank_Statement!$F$6:$F$303,MATCH(G88,Bank_Statement!$C$6:$C$303,0)),"Not in bank")</f>
        <v>563733</v>
      </c>
      <c r="I88" s="44" t="n">
        <f aca="false">IF(ISNUMBER(H88),H88-F88,"")</f>
        <v>0</v>
      </c>
      <c r="J88" s="27" t="str">
        <f aca="false">IF(NOT(ISNUMBER(H88)),"Not in bank",IF(ABS(I88)&lt;=Setup!$B$9,"Matched","Amount difference"))</f>
        <v>Matched</v>
      </c>
    </row>
    <row r="89" customFormat="false" ht="15" hidden="false" customHeight="false" outlineLevel="0" collapsed="false">
      <c r="A89" s="41" t="n">
        <v>46173</v>
      </c>
      <c r="B89" s="5" t="s">
        <v>530</v>
      </c>
      <c r="C89" s="45" t="s">
        <v>1009</v>
      </c>
      <c r="D89" s="5" t="s">
        <v>901</v>
      </c>
      <c r="E89" s="43" t="n">
        <v>169621</v>
      </c>
      <c r="F89" s="44" t="n">
        <f aca="false">IF(D89="Receipt",E89,-E89)</f>
        <v>169621</v>
      </c>
      <c r="G89" s="5" t="s">
        <v>531</v>
      </c>
      <c r="H89" s="29" t="n">
        <f aca="false">IFERROR(INDEX(Bank_Statement!$F$6:$F$303,MATCH(G89,Bank_Statement!$C$6:$C$303,0)),"Not in bank")</f>
        <v>169621</v>
      </c>
      <c r="I89" s="44" t="n">
        <f aca="false">IF(ISNUMBER(H89),H89-F89,"")</f>
        <v>0</v>
      </c>
      <c r="J89" s="27" t="str">
        <f aca="false">IF(NOT(ISNUMBER(H89)),"Not in bank",IF(ABS(I89)&lt;=Setup!$B$9,"Matched","Amount difference"))</f>
        <v>Matched</v>
      </c>
    </row>
    <row r="90" customFormat="false" ht="15" hidden="false" customHeight="false" outlineLevel="0" collapsed="false">
      <c r="A90" s="41" t="n">
        <v>46173</v>
      </c>
      <c r="B90" s="5" t="s">
        <v>1010</v>
      </c>
      <c r="C90" s="45" t="s">
        <v>1011</v>
      </c>
      <c r="D90" s="5" t="s">
        <v>892</v>
      </c>
      <c r="E90" s="43" t="n">
        <v>604</v>
      </c>
      <c r="F90" s="44" t="n">
        <f aca="false">IF(D90="Receipt",E90,-E90)</f>
        <v>-604</v>
      </c>
      <c r="G90" s="5" t="s">
        <v>1012</v>
      </c>
      <c r="H90" s="29" t="n">
        <f aca="false">IFERROR(INDEX(Bank_Statement!$F$6:$F$303,MATCH(G90,Bank_Statement!$C$6:$C$303,0)),"Not in bank")</f>
        <v>-604</v>
      </c>
      <c r="I90" s="44" t="n">
        <f aca="false">IF(ISNUMBER(H90),H90-F90,"")</f>
        <v>0</v>
      </c>
      <c r="J90" s="27" t="str">
        <f aca="false">IF(NOT(ISNUMBER(H90)),"Not in bank",IF(ABS(I90)&lt;=Setup!$B$9,"Matched","Amount difference"))</f>
        <v>Matched</v>
      </c>
    </row>
    <row r="91" customFormat="false" ht="15" hidden="false" customHeight="false" outlineLevel="0" collapsed="false">
      <c r="A91" s="41" t="n">
        <v>46174</v>
      </c>
      <c r="B91" s="5" t="s">
        <v>1013</v>
      </c>
      <c r="C91" s="45" t="s">
        <v>1014</v>
      </c>
      <c r="D91" s="5" t="s">
        <v>892</v>
      </c>
      <c r="E91" s="43" t="n">
        <v>340000</v>
      </c>
      <c r="F91" s="44" t="n">
        <f aca="false">IF(D91="Receipt",E91,-E91)</f>
        <v>-340000</v>
      </c>
      <c r="G91" s="5" t="s">
        <v>1015</v>
      </c>
      <c r="H91" s="29" t="n">
        <f aca="false">IFERROR(INDEX(Bank_Statement!$F$6:$F$303,MATCH(G91,Bank_Statement!$C$6:$C$303,0)),"Not in bank")</f>
        <v>-340000</v>
      </c>
      <c r="I91" s="44" t="n">
        <f aca="false">IF(ISNUMBER(H91),H91-F91,"")</f>
        <v>0</v>
      </c>
      <c r="J91" s="27" t="str">
        <f aca="false">IF(NOT(ISNUMBER(H91)),"Not in bank",IF(ABS(I91)&lt;=Setup!$B$9,"Matched","Amount difference"))</f>
        <v>Matched</v>
      </c>
    </row>
    <row r="92" customFormat="false" ht="15" hidden="false" customHeight="false" outlineLevel="0" collapsed="false">
      <c r="A92" s="41" t="n">
        <v>46176</v>
      </c>
      <c r="B92" s="5" t="s">
        <v>532</v>
      </c>
      <c r="C92" s="45" t="s">
        <v>1016</v>
      </c>
      <c r="D92" s="5" t="s">
        <v>901</v>
      </c>
      <c r="E92" s="43" t="n">
        <v>264218</v>
      </c>
      <c r="F92" s="44" t="n">
        <f aca="false">IF(D92="Receipt",E92,-E92)</f>
        <v>264218</v>
      </c>
      <c r="G92" s="5" t="s">
        <v>533</v>
      </c>
      <c r="H92" s="29" t="n">
        <f aca="false">IFERROR(INDEX(Bank_Statement!$F$6:$F$303,MATCH(G92,Bank_Statement!$C$6:$C$303,0)),"Not in bank")</f>
        <v>264218</v>
      </c>
      <c r="I92" s="44" t="n">
        <f aca="false">IF(ISNUMBER(H92),H92-F92,"")</f>
        <v>0</v>
      </c>
      <c r="J92" s="27" t="str">
        <f aca="false">IF(NOT(ISNUMBER(H92)),"Not in bank",IF(ABS(I92)&lt;=Setup!$B$9,"Matched","Amount difference"))</f>
        <v>Matched</v>
      </c>
    </row>
    <row r="93" customFormat="false" ht="15" hidden="false" customHeight="false" outlineLevel="0" collapsed="false">
      <c r="A93" s="41" t="n">
        <v>46176</v>
      </c>
      <c r="B93" s="5" t="s">
        <v>534</v>
      </c>
      <c r="C93" s="45" t="s">
        <v>1017</v>
      </c>
      <c r="D93" s="5" t="s">
        <v>901</v>
      </c>
      <c r="E93" s="43" t="n">
        <v>581952</v>
      </c>
      <c r="F93" s="44" t="n">
        <f aca="false">IF(D93="Receipt",E93,-E93)</f>
        <v>581952</v>
      </c>
      <c r="G93" s="5" t="s">
        <v>535</v>
      </c>
      <c r="H93" s="29" t="n">
        <f aca="false">IFERROR(INDEX(Bank_Statement!$F$6:$F$303,MATCH(G93,Bank_Statement!$C$6:$C$303,0)),"Not in bank")</f>
        <v>581952</v>
      </c>
      <c r="I93" s="44" t="n">
        <f aca="false">IF(ISNUMBER(H93),H93-F93,"")</f>
        <v>0</v>
      </c>
      <c r="J93" s="27" t="str">
        <f aca="false">IF(NOT(ISNUMBER(H93)),"Not in bank",IF(ABS(I93)&lt;=Setup!$B$9,"Matched","Amount difference"))</f>
        <v>Matched</v>
      </c>
    </row>
    <row r="94" customFormat="false" ht="15" hidden="false" customHeight="false" outlineLevel="0" collapsed="false">
      <c r="A94" s="41" t="n">
        <v>46176</v>
      </c>
      <c r="B94" s="5" t="s">
        <v>536</v>
      </c>
      <c r="C94" s="45" t="s">
        <v>1018</v>
      </c>
      <c r="D94" s="5" t="s">
        <v>901</v>
      </c>
      <c r="E94" s="43" t="n">
        <v>194490</v>
      </c>
      <c r="F94" s="44" t="n">
        <f aca="false">IF(D94="Receipt",E94,-E94)</f>
        <v>194490</v>
      </c>
      <c r="G94" s="5" t="s">
        <v>537</v>
      </c>
      <c r="H94" s="29" t="n">
        <f aca="false">IFERROR(INDEX(Bank_Statement!$F$6:$F$303,MATCH(G94,Bank_Statement!$C$6:$C$303,0)),"Not in bank")</f>
        <v>194490</v>
      </c>
      <c r="I94" s="44" t="n">
        <f aca="false">IF(ISNUMBER(H94),H94-F94,"")</f>
        <v>0</v>
      </c>
      <c r="J94" s="27" t="str">
        <f aca="false">IF(NOT(ISNUMBER(H94)),"Not in bank",IF(ABS(I94)&lt;=Setup!$B$9,"Matched","Amount difference"))</f>
        <v>Matched</v>
      </c>
    </row>
    <row r="95" customFormat="false" ht="15" hidden="false" customHeight="false" outlineLevel="0" collapsed="false">
      <c r="A95" s="41" t="n">
        <v>46176</v>
      </c>
      <c r="B95" s="5" t="s">
        <v>538</v>
      </c>
      <c r="C95" s="45" t="s">
        <v>1019</v>
      </c>
      <c r="D95" s="5" t="s">
        <v>901</v>
      </c>
      <c r="E95" s="43" t="n">
        <v>47572</v>
      </c>
      <c r="F95" s="44" t="n">
        <f aca="false">IF(D95="Receipt",E95,-E95)</f>
        <v>47572</v>
      </c>
      <c r="G95" s="5" t="s">
        <v>539</v>
      </c>
      <c r="H95" s="29" t="n">
        <f aca="false">IFERROR(INDEX(Bank_Statement!$F$6:$F$303,MATCH(G95,Bank_Statement!$C$6:$C$303,0)),"Not in bank")</f>
        <v>47572</v>
      </c>
      <c r="I95" s="44" t="n">
        <f aca="false">IF(ISNUMBER(H95),H95-F95,"")</f>
        <v>0</v>
      </c>
      <c r="J95" s="27" t="str">
        <f aca="false">IF(NOT(ISNUMBER(H95)),"Not in bank",IF(ABS(I95)&lt;=Setup!$B$9,"Matched","Amount difference"))</f>
        <v>Matched</v>
      </c>
    </row>
    <row r="96" customFormat="false" ht="15" hidden="false" customHeight="false" outlineLevel="0" collapsed="false">
      <c r="A96" s="41" t="n">
        <v>46177</v>
      </c>
      <c r="B96" s="5" t="s">
        <v>540</v>
      </c>
      <c r="C96" s="45" t="s">
        <v>990</v>
      </c>
      <c r="D96" s="5" t="s">
        <v>901</v>
      </c>
      <c r="E96" s="43" t="n">
        <v>74780</v>
      </c>
      <c r="F96" s="44" t="n">
        <f aca="false">IF(D96="Receipt",E96,-E96)</f>
        <v>74780</v>
      </c>
      <c r="G96" s="5" t="s">
        <v>541</v>
      </c>
      <c r="H96" s="29" t="n">
        <f aca="false">IFERROR(INDEX(Bank_Statement!$F$6:$F$303,MATCH(G96,Bank_Statement!$C$6:$C$303,0)),"Not in bank")</f>
        <v>74780</v>
      </c>
      <c r="I96" s="44" t="n">
        <f aca="false">IF(ISNUMBER(H96),H96-F96,"")</f>
        <v>0</v>
      </c>
      <c r="J96" s="27" t="str">
        <f aca="false">IF(NOT(ISNUMBER(H96)),"Not in bank",IF(ABS(I96)&lt;=Setup!$B$9,"Matched","Amount difference"))</f>
        <v>Matched</v>
      </c>
    </row>
    <row r="97" customFormat="false" ht="15" hidden="false" customHeight="false" outlineLevel="0" collapsed="false">
      <c r="A97" s="41" t="n">
        <v>46177</v>
      </c>
      <c r="B97" s="5" t="s">
        <v>542</v>
      </c>
      <c r="C97" s="45" t="s">
        <v>1020</v>
      </c>
      <c r="D97" s="5" t="s">
        <v>901</v>
      </c>
      <c r="E97" s="43" t="n">
        <v>287113</v>
      </c>
      <c r="F97" s="44" t="n">
        <f aca="false">IF(D97="Receipt",E97,-E97)</f>
        <v>287113</v>
      </c>
      <c r="G97" s="5" t="s">
        <v>543</v>
      </c>
      <c r="H97" s="29" t="n">
        <f aca="false">IFERROR(INDEX(Bank_Statement!$F$6:$F$303,MATCH(G97,Bank_Statement!$C$6:$C$303,0)),"Not in bank")</f>
        <v>287113</v>
      </c>
      <c r="I97" s="44" t="n">
        <f aca="false">IF(ISNUMBER(H97),H97-F97,"")</f>
        <v>0</v>
      </c>
      <c r="J97" s="27" t="str">
        <f aca="false">IF(NOT(ISNUMBER(H97)),"Not in bank",IF(ABS(I97)&lt;=Setup!$B$9,"Matched","Amount difference"))</f>
        <v>Matched</v>
      </c>
    </row>
    <row r="98" customFormat="false" ht="15" hidden="false" customHeight="false" outlineLevel="0" collapsed="false">
      <c r="A98" s="41" t="n">
        <v>46177</v>
      </c>
      <c r="B98" s="5" t="s">
        <v>544</v>
      </c>
      <c r="C98" s="45" t="s">
        <v>1021</v>
      </c>
      <c r="D98" s="5" t="s">
        <v>901</v>
      </c>
      <c r="E98" s="43" t="n">
        <v>151544</v>
      </c>
      <c r="F98" s="44" t="n">
        <f aca="false">IF(D98="Receipt",E98,-E98)</f>
        <v>151544</v>
      </c>
      <c r="G98" s="5" t="s">
        <v>545</v>
      </c>
      <c r="H98" s="29" t="n">
        <f aca="false">IFERROR(INDEX(Bank_Statement!$F$6:$F$303,MATCH(G98,Bank_Statement!$C$6:$C$303,0)),"Not in bank")</f>
        <v>151544</v>
      </c>
      <c r="I98" s="44" t="n">
        <f aca="false">IF(ISNUMBER(H98),H98-F98,"")</f>
        <v>0</v>
      </c>
      <c r="J98" s="27" t="str">
        <f aca="false">IF(NOT(ISNUMBER(H98)),"Not in bank",IF(ABS(I98)&lt;=Setup!$B$9,"Matched","Amount difference"))</f>
        <v>Matched</v>
      </c>
    </row>
    <row r="99" customFormat="false" ht="15" hidden="false" customHeight="false" outlineLevel="0" collapsed="false">
      <c r="A99" s="41" t="n">
        <v>46177</v>
      </c>
      <c r="B99" s="5" t="s">
        <v>546</v>
      </c>
      <c r="C99" s="45" t="s">
        <v>1022</v>
      </c>
      <c r="D99" s="5" t="s">
        <v>901</v>
      </c>
      <c r="E99" s="43" t="n">
        <v>134531</v>
      </c>
      <c r="F99" s="44" t="n">
        <f aca="false">IF(D99="Receipt",E99,-E99)</f>
        <v>134531</v>
      </c>
      <c r="G99" s="5" t="s">
        <v>547</v>
      </c>
      <c r="H99" s="29" t="n">
        <f aca="false">IFERROR(INDEX(Bank_Statement!$F$6:$F$303,MATCH(G99,Bank_Statement!$C$6:$C$303,0)),"Not in bank")</f>
        <v>134531</v>
      </c>
      <c r="I99" s="44" t="n">
        <f aca="false">IF(ISNUMBER(H99),H99-F99,"")</f>
        <v>0</v>
      </c>
      <c r="J99" s="27" t="str">
        <f aca="false">IF(NOT(ISNUMBER(H99)),"Not in bank",IF(ABS(I99)&lt;=Setup!$B$9,"Matched","Amount difference"))</f>
        <v>Matched</v>
      </c>
    </row>
    <row r="100" customFormat="false" ht="15" hidden="false" customHeight="false" outlineLevel="0" collapsed="false">
      <c r="A100" s="41" t="n">
        <v>46178</v>
      </c>
      <c r="B100" s="5" t="s">
        <v>548</v>
      </c>
      <c r="C100" s="45" t="s">
        <v>1023</v>
      </c>
      <c r="D100" s="5" t="s">
        <v>901</v>
      </c>
      <c r="E100" s="43" t="n">
        <v>226045</v>
      </c>
      <c r="F100" s="44" t="n">
        <f aca="false">IF(D100="Receipt",E100,-E100)</f>
        <v>226045</v>
      </c>
      <c r="G100" s="5" t="s">
        <v>549</v>
      </c>
      <c r="H100" s="29" t="n">
        <f aca="false">IFERROR(INDEX(Bank_Statement!$F$6:$F$303,MATCH(G100,Bank_Statement!$C$6:$C$303,0)),"Not in bank")</f>
        <v>226045</v>
      </c>
      <c r="I100" s="44" t="n">
        <f aca="false">IF(ISNUMBER(H100),H100-F100,"")</f>
        <v>0</v>
      </c>
      <c r="J100" s="27" t="str">
        <f aca="false">IF(NOT(ISNUMBER(H100)),"Not in bank",IF(ABS(I100)&lt;=Setup!$B$9,"Matched","Amount difference"))</f>
        <v>Matched</v>
      </c>
    </row>
    <row r="101" customFormat="false" ht="15" hidden="false" customHeight="false" outlineLevel="0" collapsed="false">
      <c r="A101" s="41" t="n">
        <v>46178</v>
      </c>
      <c r="B101" s="5" t="s">
        <v>550</v>
      </c>
      <c r="C101" s="45" t="s">
        <v>1024</v>
      </c>
      <c r="D101" s="5" t="s">
        <v>901</v>
      </c>
      <c r="E101" s="43" t="n">
        <v>304058</v>
      </c>
      <c r="F101" s="44" t="n">
        <f aca="false">IF(D101="Receipt",E101,-E101)</f>
        <v>304058</v>
      </c>
      <c r="G101" s="5" t="s">
        <v>551</v>
      </c>
      <c r="H101" s="29" t="n">
        <f aca="false">IFERROR(INDEX(Bank_Statement!$F$6:$F$303,MATCH(G101,Bank_Statement!$C$6:$C$303,0)),"Not in bank")</f>
        <v>304058</v>
      </c>
      <c r="I101" s="44" t="n">
        <f aca="false">IF(ISNUMBER(H101),H101-F101,"")</f>
        <v>0</v>
      </c>
      <c r="J101" s="27" t="str">
        <f aca="false">IF(NOT(ISNUMBER(H101)),"Not in bank",IF(ABS(I101)&lt;=Setup!$B$9,"Matched","Amount difference"))</f>
        <v>Matched</v>
      </c>
    </row>
    <row r="102" customFormat="false" ht="15" hidden="false" customHeight="false" outlineLevel="0" collapsed="false">
      <c r="A102" s="41" t="n">
        <v>46178</v>
      </c>
      <c r="B102" s="5" t="s">
        <v>552</v>
      </c>
      <c r="C102" s="45" t="s">
        <v>1025</v>
      </c>
      <c r="D102" s="5" t="s">
        <v>901</v>
      </c>
      <c r="E102" s="43" t="n">
        <v>414607</v>
      </c>
      <c r="F102" s="44" t="n">
        <f aca="false">IF(D102="Receipt",E102,-E102)</f>
        <v>414607</v>
      </c>
      <c r="G102" s="5" t="s">
        <v>553</v>
      </c>
      <c r="H102" s="29" t="n">
        <f aca="false">IFERROR(INDEX(Bank_Statement!$F$6:$F$303,MATCH(G102,Bank_Statement!$C$6:$C$303,0)),"Not in bank")</f>
        <v>414607</v>
      </c>
      <c r="I102" s="44" t="n">
        <f aca="false">IF(ISNUMBER(H102),H102-F102,"")</f>
        <v>0</v>
      </c>
      <c r="J102" s="27" t="str">
        <f aca="false">IF(NOT(ISNUMBER(H102)),"Not in bank",IF(ABS(I102)&lt;=Setup!$B$9,"Matched","Amount difference"))</f>
        <v>Matched</v>
      </c>
    </row>
    <row r="103" customFormat="false" ht="15" hidden="false" customHeight="false" outlineLevel="0" collapsed="false">
      <c r="A103" s="41" t="n">
        <v>46178</v>
      </c>
      <c r="B103" s="5" t="s">
        <v>1026</v>
      </c>
      <c r="C103" s="45" t="s">
        <v>898</v>
      </c>
      <c r="D103" s="5" t="s">
        <v>892</v>
      </c>
      <c r="E103" s="43" t="n">
        <v>95000</v>
      </c>
      <c r="F103" s="44" t="n">
        <f aca="false">IF(D103="Receipt",E103,-E103)</f>
        <v>-95000</v>
      </c>
      <c r="G103" s="5" t="s">
        <v>1027</v>
      </c>
      <c r="H103" s="29" t="n">
        <f aca="false">IFERROR(INDEX(Bank_Statement!$F$6:$F$303,MATCH(G103,Bank_Statement!$C$6:$C$303,0)),"Not in bank")</f>
        <v>-95000</v>
      </c>
      <c r="I103" s="44" t="n">
        <f aca="false">IF(ISNUMBER(H103),H103-F103,"")</f>
        <v>0</v>
      </c>
      <c r="J103" s="27" t="str">
        <f aca="false">IF(NOT(ISNUMBER(H103)),"Not in bank",IF(ABS(I103)&lt;=Setup!$B$9,"Matched","Amount difference"))</f>
        <v>Matched</v>
      </c>
    </row>
    <row r="104" customFormat="false" ht="15" hidden="false" customHeight="false" outlineLevel="0" collapsed="false">
      <c r="A104" s="41" t="n">
        <v>46180</v>
      </c>
      <c r="B104" s="5" t="s">
        <v>554</v>
      </c>
      <c r="C104" s="45" t="s">
        <v>991</v>
      </c>
      <c r="D104" s="5" t="s">
        <v>901</v>
      </c>
      <c r="E104" s="43" t="n">
        <v>115427</v>
      </c>
      <c r="F104" s="44" t="n">
        <f aca="false">IF(D104="Receipt",E104,-E104)</f>
        <v>115427</v>
      </c>
      <c r="G104" s="5" t="s">
        <v>555</v>
      </c>
      <c r="H104" s="29" t="n">
        <f aca="false">IFERROR(INDEX(Bank_Statement!$F$6:$F$303,MATCH(G104,Bank_Statement!$C$6:$C$303,0)),"Not in bank")</f>
        <v>115427</v>
      </c>
      <c r="I104" s="44" t="n">
        <f aca="false">IF(ISNUMBER(H104),H104-F104,"")</f>
        <v>0</v>
      </c>
      <c r="J104" s="27" t="str">
        <f aca="false">IF(NOT(ISNUMBER(H104)),"Not in bank",IF(ABS(I104)&lt;=Setup!$B$9,"Matched","Amount difference"))</f>
        <v>Matched</v>
      </c>
    </row>
    <row r="105" customFormat="false" ht="15" hidden="false" customHeight="false" outlineLevel="0" collapsed="false">
      <c r="A105" s="41" t="n">
        <v>46181</v>
      </c>
      <c r="B105" s="5" t="s">
        <v>556</v>
      </c>
      <c r="C105" s="45" t="s">
        <v>1028</v>
      </c>
      <c r="D105" s="5" t="s">
        <v>901</v>
      </c>
      <c r="E105" s="43" t="n">
        <v>380559</v>
      </c>
      <c r="F105" s="44" t="n">
        <f aca="false">IF(D105="Receipt",E105,-E105)</f>
        <v>380559</v>
      </c>
      <c r="G105" s="5" t="s">
        <v>557</v>
      </c>
      <c r="H105" s="29" t="n">
        <f aca="false">IFERROR(INDEX(Bank_Statement!$F$6:$F$303,MATCH(G105,Bank_Statement!$C$6:$C$303,0)),"Not in bank")</f>
        <v>380559</v>
      </c>
      <c r="I105" s="44" t="n">
        <f aca="false">IF(ISNUMBER(H105),H105-F105,"")</f>
        <v>0</v>
      </c>
      <c r="J105" s="27" t="str">
        <f aca="false">IF(NOT(ISNUMBER(H105)),"Not in bank",IF(ABS(I105)&lt;=Setup!$B$9,"Matched","Amount difference"))</f>
        <v>Matched</v>
      </c>
    </row>
    <row r="106" customFormat="false" ht="15" hidden="false" customHeight="false" outlineLevel="0" collapsed="false">
      <c r="A106" s="41" t="n">
        <v>46182</v>
      </c>
      <c r="B106" s="5" t="s">
        <v>558</v>
      </c>
      <c r="C106" s="45" t="s">
        <v>1029</v>
      </c>
      <c r="D106" s="5" t="s">
        <v>901</v>
      </c>
      <c r="E106" s="43" t="n">
        <v>400228</v>
      </c>
      <c r="F106" s="44" t="n">
        <f aca="false">IF(D106="Receipt",E106,-E106)</f>
        <v>400228</v>
      </c>
      <c r="G106" s="5" t="s">
        <v>559</v>
      </c>
      <c r="H106" s="29" t="n">
        <f aca="false">IFERROR(INDEX(Bank_Statement!$F$6:$F$303,MATCH(G106,Bank_Statement!$C$6:$C$303,0)),"Not in bank")</f>
        <v>400228</v>
      </c>
      <c r="I106" s="44" t="n">
        <f aca="false">IF(ISNUMBER(H106),H106-F106,"")</f>
        <v>0</v>
      </c>
      <c r="J106" s="27" t="str">
        <f aca="false">IF(NOT(ISNUMBER(H106)),"Not in bank",IF(ABS(I106)&lt;=Setup!$B$9,"Matched","Amount difference"))</f>
        <v>Matched</v>
      </c>
    </row>
    <row r="107" customFormat="false" ht="15" hidden="false" customHeight="false" outlineLevel="0" collapsed="false">
      <c r="A107" s="41" t="n">
        <v>46183</v>
      </c>
      <c r="B107" s="5" t="s">
        <v>1030</v>
      </c>
      <c r="C107" s="45" t="s">
        <v>907</v>
      </c>
      <c r="D107" s="5" t="s">
        <v>892</v>
      </c>
      <c r="E107" s="43" t="n">
        <v>5672000</v>
      </c>
      <c r="F107" s="44" t="n">
        <f aca="false">IF(D107="Receipt",E107,-E107)</f>
        <v>-5672000</v>
      </c>
      <c r="G107" s="5" t="s">
        <v>1031</v>
      </c>
      <c r="H107" s="29" t="n">
        <f aca="false">IFERROR(INDEX(Bank_Statement!$F$6:$F$303,MATCH(G107,Bank_Statement!$C$6:$C$303,0)),"Not in bank")</f>
        <v>-5672000</v>
      </c>
      <c r="I107" s="44" t="n">
        <f aca="false">IF(ISNUMBER(H107),H107-F107,"")</f>
        <v>0</v>
      </c>
      <c r="J107" s="27" t="str">
        <f aca="false">IF(NOT(ISNUMBER(H107)),"Not in bank",IF(ABS(I107)&lt;=Setup!$B$9,"Matched","Amount difference"))</f>
        <v>Matched</v>
      </c>
    </row>
    <row r="108" customFormat="false" ht="15" hidden="false" customHeight="false" outlineLevel="0" collapsed="false">
      <c r="A108" s="41" t="n">
        <v>46184</v>
      </c>
      <c r="B108" s="5" t="s">
        <v>560</v>
      </c>
      <c r="C108" s="45" t="s">
        <v>980</v>
      </c>
      <c r="D108" s="5" t="s">
        <v>901</v>
      </c>
      <c r="E108" s="43" t="n">
        <v>34378</v>
      </c>
      <c r="F108" s="44" t="n">
        <f aca="false">IF(D108="Receipt",E108,-E108)</f>
        <v>34378</v>
      </c>
      <c r="G108" s="5" t="s">
        <v>561</v>
      </c>
      <c r="H108" s="29" t="n">
        <f aca="false">IFERROR(INDEX(Bank_Statement!$F$6:$F$303,MATCH(G108,Bank_Statement!$C$6:$C$303,0)),"Not in bank")</f>
        <v>34378</v>
      </c>
      <c r="I108" s="44" t="n">
        <f aca="false">IF(ISNUMBER(H108),H108-F108,"")</f>
        <v>0</v>
      </c>
      <c r="J108" s="27" t="str">
        <f aca="false">IF(NOT(ISNUMBER(H108)),"Not in bank",IF(ABS(I108)&lt;=Setup!$B$9,"Matched","Amount difference"))</f>
        <v>Matched</v>
      </c>
    </row>
    <row r="109" customFormat="false" ht="15" hidden="false" customHeight="false" outlineLevel="0" collapsed="false">
      <c r="A109" s="41" t="n">
        <v>46184</v>
      </c>
      <c r="B109" s="5" t="s">
        <v>562</v>
      </c>
      <c r="C109" s="45" t="s">
        <v>1032</v>
      </c>
      <c r="D109" s="5" t="s">
        <v>901</v>
      </c>
      <c r="E109" s="43" t="n">
        <v>384384</v>
      </c>
      <c r="F109" s="44" t="n">
        <f aca="false">IF(D109="Receipt",E109,-E109)</f>
        <v>384384</v>
      </c>
      <c r="G109" s="5" t="s">
        <v>563</v>
      </c>
      <c r="H109" s="29" t="n">
        <f aca="false">IFERROR(INDEX(Bank_Statement!$F$6:$F$303,MATCH(G109,Bank_Statement!$C$6:$C$303,0)),"Not in bank")</f>
        <v>384384</v>
      </c>
      <c r="I109" s="44" t="n">
        <f aca="false">IF(ISNUMBER(H109),H109-F109,"")</f>
        <v>0</v>
      </c>
      <c r="J109" s="27" t="str">
        <f aca="false">IF(NOT(ISNUMBER(H109)),"Not in bank",IF(ABS(I109)&lt;=Setup!$B$9,"Matched","Amount difference"))</f>
        <v>Matched</v>
      </c>
    </row>
    <row r="110" customFormat="false" ht="15" hidden="false" customHeight="false" outlineLevel="0" collapsed="false">
      <c r="A110" s="41" t="n">
        <v>46186</v>
      </c>
      <c r="B110" s="5" t="s">
        <v>564</v>
      </c>
      <c r="C110" s="45" t="s">
        <v>1033</v>
      </c>
      <c r="D110" s="5" t="s">
        <v>901</v>
      </c>
      <c r="E110" s="43" t="n">
        <v>113653</v>
      </c>
      <c r="F110" s="44" t="n">
        <f aca="false">IF(D110="Receipt",E110,-E110)</f>
        <v>113653</v>
      </c>
      <c r="G110" s="5" t="s">
        <v>565</v>
      </c>
      <c r="H110" s="29" t="n">
        <f aca="false">IFERROR(INDEX(Bank_Statement!$F$6:$F$303,MATCH(G110,Bank_Statement!$C$6:$C$303,0)),"Not in bank")</f>
        <v>113653</v>
      </c>
      <c r="I110" s="44" t="n">
        <f aca="false">IF(ISNUMBER(H110),H110-F110,"")</f>
        <v>0</v>
      </c>
      <c r="J110" s="27" t="str">
        <f aca="false">IF(NOT(ISNUMBER(H110)),"Not in bank",IF(ABS(I110)&lt;=Setup!$B$9,"Matched","Amount difference"))</f>
        <v>Matched</v>
      </c>
    </row>
    <row r="111" customFormat="false" ht="15" hidden="false" customHeight="false" outlineLevel="0" collapsed="false">
      <c r="A111" s="41" t="n">
        <v>46186</v>
      </c>
      <c r="B111" s="5" t="s">
        <v>566</v>
      </c>
      <c r="C111" s="45" t="s">
        <v>1034</v>
      </c>
      <c r="D111" s="5" t="s">
        <v>901</v>
      </c>
      <c r="E111" s="43" t="n">
        <v>163329</v>
      </c>
      <c r="F111" s="44" t="n">
        <f aca="false">IF(D111="Receipt",E111,-E111)</f>
        <v>163329</v>
      </c>
      <c r="G111" s="5" t="s">
        <v>567</v>
      </c>
      <c r="H111" s="29" t="n">
        <f aca="false">IFERROR(INDEX(Bank_Statement!$F$6:$F$303,MATCH(G111,Bank_Statement!$C$6:$C$303,0)),"Not in bank")</f>
        <v>163329</v>
      </c>
      <c r="I111" s="44" t="n">
        <f aca="false">IF(ISNUMBER(H111),H111-F111,"")</f>
        <v>0</v>
      </c>
      <c r="J111" s="27" t="str">
        <f aca="false">IF(NOT(ISNUMBER(H111)),"Not in bank",IF(ABS(I111)&lt;=Setup!$B$9,"Matched","Amount difference"))</f>
        <v>Matched</v>
      </c>
    </row>
    <row r="112" customFormat="false" ht="15" hidden="false" customHeight="false" outlineLevel="0" collapsed="false">
      <c r="A112" s="41" t="n">
        <v>46186</v>
      </c>
      <c r="B112" s="5" t="s">
        <v>568</v>
      </c>
      <c r="C112" s="45" t="s">
        <v>1035</v>
      </c>
      <c r="D112" s="5" t="s">
        <v>901</v>
      </c>
      <c r="E112" s="43" t="n">
        <v>227490</v>
      </c>
      <c r="F112" s="44" t="n">
        <f aca="false">IF(D112="Receipt",E112,-E112)</f>
        <v>227490</v>
      </c>
      <c r="G112" s="5" t="s">
        <v>569</v>
      </c>
      <c r="H112" s="29" t="n">
        <f aca="false">IFERROR(INDEX(Bank_Statement!$F$6:$F$303,MATCH(G112,Bank_Statement!$C$6:$C$303,0)),"Not in bank")</f>
        <v>227490</v>
      </c>
      <c r="I112" s="44" t="n">
        <f aca="false">IF(ISNUMBER(H112),H112-F112,"")</f>
        <v>0</v>
      </c>
      <c r="J112" s="27" t="str">
        <f aca="false">IF(NOT(ISNUMBER(H112)),"Not in bank",IF(ABS(I112)&lt;=Setup!$B$9,"Matched","Amount difference"))</f>
        <v>Matched</v>
      </c>
    </row>
    <row r="113" customFormat="false" ht="15" hidden="false" customHeight="false" outlineLevel="0" collapsed="false">
      <c r="A113" s="41" t="n">
        <v>46187</v>
      </c>
      <c r="B113" s="5" t="s">
        <v>570</v>
      </c>
      <c r="C113" s="45" t="s">
        <v>1036</v>
      </c>
      <c r="D113" s="5" t="s">
        <v>901</v>
      </c>
      <c r="E113" s="43" t="n">
        <v>454559</v>
      </c>
      <c r="F113" s="44" t="n">
        <f aca="false">IF(D113="Receipt",E113,-E113)</f>
        <v>454559</v>
      </c>
      <c r="G113" s="5" t="s">
        <v>571</v>
      </c>
      <c r="H113" s="29" t="n">
        <f aca="false">IFERROR(INDEX(Bank_Statement!$F$6:$F$303,MATCH(G113,Bank_Statement!$C$6:$C$303,0)),"Not in bank")</f>
        <v>454559</v>
      </c>
      <c r="I113" s="44" t="n">
        <f aca="false">IF(ISNUMBER(H113),H113-F113,"")</f>
        <v>0</v>
      </c>
      <c r="J113" s="27" t="str">
        <f aca="false">IF(NOT(ISNUMBER(H113)),"Not in bank",IF(ABS(I113)&lt;=Setup!$B$9,"Matched","Amount difference"))</f>
        <v>Matched</v>
      </c>
    </row>
    <row r="114" customFormat="false" ht="15" hidden="false" customHeight="false" outlineLevel="0" collapsed="false">
      <c r="A114" s="41" t="n">
        <v>46188</v>
      </c>
      <c r="B114" s="5" t="s">
        <v>572</v>
      </c>
      <c r="C114" s="45" t="s">
        <v>1002</v>
      </c>
      <c r="D114" s="5" t="s">
        <v>901</v>
      </c>
      <c r="E114" s="43" t="n">
        <v>110323</v>
      </c>
      <c r="F114" s="44" t="n">
        <f aca="false">IF(D114="Receipt",E114,-E114)</f>
        <v>110323</v>
      </c>
      <c r="G114" s="5" t="s">
        <v>573</v>
      </c>
      <c r="H114" s="29" t="n">
        <f aca="false">IFERROR(INDEX(Bank_Statement!$F$6:$F$303,MATCH(G114,Bank_Statement!$C$6:$C$303,0)),"Not in bank")</f>
        <v>110323</v>
      </c>
      <c r="I114" s="44" t="n">
        <f aca="false">IF(ISNUMBER(H114),H114-F114,"")</f>
        <v>0</v>
      </c>
      <c r="J114" s="27" t="str">
        <f aca="false">IF(NOT(ISNUMBER(H114)),"Not in bank",IF(ABS(I114)&lt;=Setup!$B$9,"Matched","Amount difference"))</f>
        <v>Matched</v>
      </c>
    </row>
    <row r="115" customFormat="false" ht="15" hidden="false" customHeight="false" outlineLevel="0" collapsed="false">
      <c r="A115" s="41" t="n">
        <v>46188</v>
      </c>
      <c r="B115" s="5" t="s">
        <v>574</v>
      </c>
      <c r="C115" s="45" t="s">
        <v>1037</v>
      </c>
      <c r="D115" s="5" t="s">
        <v>901</v>
      </c>
      <c r="E115" s="43" t="n">
        <v>116143</v>
      </c>
      <c r="F115" s="44" t="n">
        <f aca="false">IF(D115="Receipt",E115,-E115)</f>
        <v>116143</v>
      </c>
      <c r="G115" s="5" t="s">
        <v>575</v>
      </c>
      <c r="H115" s="29" t="n">
        <f aca="false">IFERROR(INDEX(Bank_Statement!$F$6:$F$303,MATCH(G115,Bank_Statement!$C$6:$C$303,0)),"Not in bank")</f>
        <v>116143</v>
      </c>
      <c r="I115" s="44" t="n">
        <f aca="false">IF(ISNUMBER(H115),H115-F115,"")</f>
        <v>0</v>
      </c>
      <c r="J115" s="27" t="str">
        <f aca="false">IF(NOT(ISNUMBER(H115)),"Not in bank",IF(ABS(I115)&lt;=Setup!$B$9,"Matched","Amount difference"))</f>
        <v>Matched</v>
      </c>
    </row>
    <row r="116" customFormat="false" ht="15" hidden="false" customHeight="false" outlineLevel="0" collapsed="false">
      <c r="A116" s="41" t="n">
        <v>46188</v>
      </c>
      <c r="B116" s="5" t="s">
        <v>576</v>
      </c>
      <c r="C116" s="45" t="s">
        <v>1038</v>
      </c>
      <c r="D116" s="5" t="s">
        <v>901</v>
      </c>
      <c r="E116" s="43" t="n">
        <v>221444</v>
      </c>
      <c r="F116" s="44" t="n">
        <f aca="false">IF(D116="Receipt",E116,-E116)</f>
        <v>221444</v>
      </c>
      <c r="G116" s="5" t="s">
        <v>577</v>
      </c>
      <c r="H116" s="29" t="n">
        <f aca="false">IFERROR(INDEX(Bank_Statement!$F$6:$F$303,MATCH(G116,Bank_Statement!$C$6:$C$303,0)),"Not in bank")</f>
        <v>221444</v>
      </c>
      <c r="I116" s="44" t="n">
        <f aca="false">IF(ISNUMBER(H116),H116-F116,"")</f>
        <v>0</v>
      </c>
      <c r="J116" s="27" t="str">
        <f aca="false">IF(NOT(ISNUMBER(H116)),"Not in bank",IF(ABS(I116)&lt;=Setup!$B$9,"Matched","Amount difference"))</f>
        <v>Matched</v>
      </c>
    </row>
    <row r="117" customFormat="false" ht="15" hidden="false" customHeight="false" outlineLevel="0" collapsed="false">
      <c r="A117" s="41" t="n">
        <v>46189</v>
      </c>
      <c r="B117" s="5" t="s">
        <v>578</v>
      </c>
      <c r="C117" s="45" t="s">
        <v>1039</v>
      </c>
      <c r="D117" s="5" t="s">
        <v>901</v>
      </c>
      <c r="E117" s="43" t="n">
        <v>232164</v>
      </c>
      <c r="F117" s="44" t="n">
        <f aca="false">IF(D117="Receipt",E117,-E117)</f>
        <v>232164</v>
      </c>
      <c r="G117" s="5" t="s">
        <v>579</v>
      </c>
      <c r="H117" s="29" t="n">
        <f aca="false">IFERROR(INDEX(Bank_Statement!$F$6:$F$303,MATCH(G117,Bank_Statement!$C$6:$C$303,0)),"Not in bank")</f>
        <v>232164</v>
      </c>
      <c r="I117" s="44" t="n">
        <f aca="false">IF(ISNUMBER(H117),H117-F117,"")</f>
        <v>0</v>
      </c>
      <c r="J117" s="27" t="str">
        <f aca="false">IF(NOT(ISNUMBER(H117)),"Not in bank",IF(ABS(I117)&lt;=Setup!$B$9,"Matched","Amount difference"))</f>
        <v>Matched</v>
      </c>
    </row>
    <row r="118" customFormat="false" ht="15" hidden="false" customHeight="false" outlineLevel="0" collapsed="false">
      <c r="A118" s="41" t="n">
        <v>46190</v>
      </c>
      <c r="B118" s="5" t="s">
        <v>580</v>
      </c>
      <c r="C118" s="45" t="s">
        <v>1040</v>
      </c>
      <c r="D118" s="5" t="s">
        <v>901</v>
      </c>
      <c r="E118" s="43" t="n">
        <v>378487</v>
      </c>
      <c r="F118" s="44" t="n">
        <f aca="false">IF(D118="Receipt",E118,-E118)</f>
        <v>378487</v>
      </c>
      <c r="G118" s="5" t="s">
        <v>581</v>
      </c>
      <c r="H118" s="29" t="n">
        <f aca="false">IFERROR(INDEX(Bank_Statement!$F$6:$F$303,MATCH(G118,Bank_Statement!$C$6:$C$303,0)),"Not in bank")</f>
        <v>378487</v>
      </c>
      <c r="I118" s="44" t="n">
        <f aca="false">IF(ISNUMBER(H118),H118-F118,"")</f>
        <v>0</v>
      </c>
      <c r="J118" s="27" t="str">
        <f aca="false">IF(NOT(ISNUMBER(H118)),"Not in bank",IF(ABS(I118)&lt;=Setup!$B$9,"Matched","Amount difference"))</f>
        <v>Matched</v>
      </c>
    </row>
    <row r="119" customFormat="false" ht="15" hidden="false" customHeight="false" outlineLevel="0" collapsed="false">
      <c r="A119" s="41" t="n">
        <v>46191</v>
      </c>
      <c r="B119" s="5" t="s">
        <v>582</v>
      </c>
      <c r="C119" s="45" t="s">
        <v>1041</v>
      </c>
      <c r="D119" s="5" t="s">
        <v>901</v>
      </c>
      <c r="E119" s="43" t="n">
        <v>464274</v>
      </c>
      <c r="F119" s="44" t="n">
        <f aca="false">IF(D119="Receipt",E119,-E119)</f>
        <v>464274</v>
      </c>
      <c r="G119" s="5" t="s">
        <v>583</v>
      </c>
      <c r="H119" s="29" t="n">
        <f aca="false">IFERROR(INDEX(Bank_Statement!$F$6:$F$303,MATCH(G119,Bank_Statement!$C$6:$C$303,0)),"Not in bank")</f>
        <v>464274</v>
      </c>
      <c r="I119" s="44" t="n">
        <f aca="false">IF(ISNUMBER(H119),H119-F119,"")</f>
        <v>0</v>
      </c>
      <c r="J119" s="27" t="str">
        <f aca="false">IF(NOT(ISNUMBER(H119)),"Not in bank",IF(ABS(I119)&lt;=Setup!$B$9,"Matched","Amount difference"))</f>
        <v>Matched</v>
      </c>
    </row>
    <row r="120" customFormat="false" ht="15" hidden="false" customHeight="false" outlineLevel="0" collapsed="false">
      <c r="A120" s="41" t="n">
        <v>46191</v>
      </c>
      <c r="B120" s="5" t="s">
        <v>1042</v>
      </c>
      <c r="C120" s="45" t="s">
        <v>917</v>
      </c>
      <c r="D120" s="5" t="s">
        <v>892</v>
      </c>
      <c r="E120" s="43" t="n">
        <v>83409</v>
      </c>
      <c r="F120" s="44" t="n">
        <f aca="false">IF(D120="Receipt",E120,-E120)</f>
        <v>-83409</v>
      </c>
      <c r="G120" s="5" t="s">
        <v>1043</v>
      </c>
      <c r="H120" s="29" t="n">
        <f aca="false">IFERROR(INDEX(Bank_Statement!$F$6:$F$303,MATCH(G120,Bank_Statement!$C$6:$C$303,0)),"Not in bank")</f>
        <v>-83409</v>
      </c>
      <c r="I120" s="44" t="n">
        <f aca="false">IF(ISNUMBER(H120),H120-F120,"")</f>
        <v>0</v>
      </c>
      <c r="J120" s="27" t="str">
        <f aca="false">IF(NOT(ISNUMBER(H120)),"Not in bank",IF(ABS(I120)&lt;=Setup!$B$9,"Matched","Amount difference"))</f>
        <v>Matched</v>
      </c>
    </row>
    <row r="121" customFormat="false" ht="15" hidden="false" customHeight="false" outlineLevel="0" collapsed="false">
      <c r="A121" s="41" t="n">
        <v>46192</v>
      </c>
      <c r="B121" s="5" t="s">
        <v>584</v>
      </c>
      <c r="C121" s="45" t="s">
        <v>1044</v>
      </c>
      <c r="D121" s="5" t="s">
        <v>901</v>
      </c>
      <c r="E121" s="43" t="n">
        <v>307613</v>
      </c>
      <c r="F121" s="44" t="n">
        <f aca="false">IF(D121="Receipt",E121,-E121)</f>
        <v>307613</v>
      </c>
      <c r="G121" s="5" t="s">
        <v>585</v>
      </c>
      <c r="H121" s="29" t="n">
        <f aca="false">IFERROR(INDEX(Bank_Statement!$F$6:$F$303,MATCH(G121,Bank_Statement!$C$6:$C$303,0)),"Not in bank")</f>
        <v>307613</v>
      </c>
      <c r="I121" s="44" t="n">
        <f aca="false">IF(ISNUMBER(H121),H121-F121,"")</f>
        <v>0</v>
      </c>
      <c r="J121" s="27" t="str">
        <f aca="false">IF(NOT(ISNUMBER(H121)),"Not in bank",IF(ABS(I121)&lt;=Setup!$B$9,"Matched","Amount difference"))</f>
        <v>Matched</v>
      </c>
    </row>
    <row r="122" customFormat="false" ht="15" hidden="false" customHeight="false" outlineLevel="0" collapsed="false">
      <c r="A122" s="41" t="n">
        <v>46192</v>
      </c>
      <c r="B122" s="5" t="s">
        <v>1045</v>
      </c>
      <c r="C122" s="45" t="s">
        <v>895</v>
      </c>
      <c r="D122" s="5" t="s">
        <v>892</v>
      </c>
      <c r="E122" s="43" t="n">
        <v>171005</v>
      </c>
      <c r="F122" s="44" t="n">
        <f aca="false">IF(D122="Receipt",E122,-E122)</f>
        <v>-171005</v>
      </c>
      <c r="G122" s="5" t="s">
        <v>1046</v>
      </c>
      <c r="H122" s="29" t="n">
        <f aca="false">IFERROR(INDEX(Bank_Statement!$F$6:$F$303,MATCH(G122,Bank_Statement!$C$6:$C$303,0)),"Not in bank")</f>
        <v>-171005</v>
      </c>
      <c r="I122" s="44" t="n">
        <f aca="false">IF(ISNUMBER(H122),H122-F122,"")</f>
        <v>0</v>
      </c>
      <c r="J122" s="27" t="str">
        <f aca="false">IF(NOT(ISNUMBER(H122)),"Not in bank",IF(ABS(I122)&lt;=Setup!$B$9,"Matched","Amount difference"))</f>
        <v>Matched</v>
      </c>
    </row>
    <row r="123" customFormat="false" ht="15" hidden="false" customHeight="false" outlineLevel="0" collapsed="false">
      <c r="A123" s="41" t="n">
        <v>46193</v>
      </c>
      <c r="B123" s="5" t="s">
        <v>586</v>
      </c>
      <c r="C123" s="45" t="s">
        <v>1047</v>
      </c>
      <c r="D123" s="5" t="s">
        <v>901</v>
      </c>
      <c r="E123" s="43" t="n">
        <v>198801</v>
      </c>
      <c r="F123" s="44" t="n">
        <f aca="false">IF(D123="Receipt",E123,-E123)</f>
        <v>198801</v>
      </c>
      <c r="G123" s="5" t="s">
        <v>587</v>
      </c>
      <c r="H123" s="29" t="n">
        <f aca="false">IFERROR(INDEX(Bank_Statement!$F$6:$F$303,MATCH(G123,Bank_Statement!$C$6:$C$303,0)),"Not in bank")</f>
        <v>198801</v>
      </c>
      <c r="I123" s="44" t="n">
        <f aca="false">IF(ISNUMBER(H123),H123-F123,"")</f>
        <v>0</v>
      </c>
      <c r="J123" s="27" t="str">
        <f aca="false">IF(NOT(ISNUMBER(H123)),"Not in bank",IF(ABS(I123)&lt;=Setup!$B$9,"Matched","Amount difference"))</f>
        <v>Matched</v>
      </c>
    </row>
    <row r="124" customFormat="false" ht="15" hidden="false" customHeight="false" outlineLevel="0" collapsed="false">
      <c r="A124" s="41" t="n">
        <v>46193</v>
      </c>
      <c r="B124" s="5" t="s">
        <v>1048</v>
      </c>
      <c r="C124" s="45" t="s">
        <v>924</v>
      </c>
      <c r="D124" s="5" t="s">
        <v>892</v>
      </c>
      <c r="E124" s="43" t="n">
        <v>210000</v>
      </c>
      <c r="F124" s="44" t="n">
        <f aca="false">IF(D124="Receipt",E124,-E124)</f>
        <v>-210000</v>
      </c>
      <c r="G124" s="5" t="s">
        <v>1049</v>
      </c>
      <c r="H124" s="29" t="n">
        <f aca="false">IFERROR(INDEX(Bank_Statement!$F$6:$F$303,MATCH(G124,Bank_Statement!$C$6:$C$303,0)),"Not in bank")</f>
        <v>-210000</v>
      </c>
      <c r="I124" s="44" t="n">
        <f aca="false">IF(ISNUMBER(H124),H124-F124,"")</f>
        <v>0</v>
      </c>
      <c r="J124" s="27" t="str">
        <f aca="false">IF(NOT(ISNUMBER(H124)),"Not in bank",IF(ABS(I124)&lt;=Setup!$B$9,"Matched","Amount difference"))</f>
        <v>Matched</v>
      </c>
    </row>
    <row r="125" customFormat="false" ht="15" hidden="false" customHeight="false" outlineLevel="0" collapsed="false">
      <c r="A125" s="41" t="n">
        <v>46194</v>
      </c>
      <c r="B125" s="5" t="s">
        <v>588</v>
      </c>
      <c r="C125" s="45" t="s">
        <v>1050</v>
      </c>
      <c r="D125" s="5" t="s">
        <v>901</v>
      </c>
      <c r="E125" s="43" t="n">
        <v>208335</v>
      </c>
      <c r="F125" s="44" t="n">
        <f aca="false">IF(D125="Receipt",E125,-E125)</f>
        <v>208335</v>
      </c>
      <c r="G125" s="5" t="s">
        <v>589</v>
      </c>
      <c r="H125" s="29" t="n">
        <f aca="false">IFERROR(INDEX(Bank_Statement!$F$6:$F$303,MATCH(G125,Bank_Statement!$C$6:$C$303,0)),"Not in bank")</f>
        <v>208335</v>
      </c>
      <c r="I125" s="44" t="n">
        <f aca="false">IF(ISNUMBER(H125),H125-F125,"")</f>
        <v>0</v>
      </c>
      <c r="J125" s="27" t="str">
        <f aca="false">IF(NOT(ISNUMBER(H125)),"Not in bank",IF(ABS(I125)&lt;=Setup!$B$9,"Matched","Amount difference"))</f>
        <v>Matched</v>
      </c>
    </row>
    <row r="126" customFormat="false" ht="15" hidden="false" customHeight="false" outlineLevel="0" collapsed="false">
      <c r="A126" s="41" t="n">
        <v>46194</v>
      </c>
      <c r="B126" s="5" t="s">
        <v>590</v>
      </c>
      <c r="C126" s="45" t="s">
        <v>1051</v>
      </c>
      <c r="D126" s="5" t="s">
        <v>901</v>
      </c>
      <c r="E126" s="43" t="n">
        <v>194806</v>
      </c>
      <c r="F126" s="44" t="n">
        <f aca="false">IF(D126="Receipt",E126,-E126)</f>
        <v>194806</v>
      </c>
      <c r="G126" s="5" t="s">
        <v>591</v>
      </c>
      <c r="H126" s="29" t="n">
        <f aca="false">IFERROR(INDEX(Bank_Statement!$F$6:$F$303,MATCH(G126,Bank_Statement!$C$6:$C$303,0)),"Not in bank")</f>
        <v>194806</v>
      </c>
      <c r="I126" s="44" t="n">
        <f aca="false">IF(ISNUMBER(H126),H126-F126,"")</f>
        <v>0</v>
      </c>
      <c r="J126" s="27" t="str">
        <f aca="false">IF(NOT(ISNUMBER(H126)),"Not in bank",IF(ABS(I126)&lt;=Setup!$B$9,"Matched","Amount difference"))</f>
        <v>Matched</v>
      </c>
    </row>
    <row r="127" customFormat="false" ht="15" hidden="false" customHeight="false" outlineLevel="0" collapsed="false">
      <c r="A127" s="41" t="n">
        <v>46194</v>
      </c>
      <c r="B127" s="5" t="s">
        <v>592</v>
      </c>
      <c r="C127" s="45" t="s">
        <v>1052</v>
      </c>
      <c r="D127" s="5" t="s">
        <v>901</v>
      </c>
      <c r="E127" s="43" t="n">
        <v>287692</v>
      </c>
      <c r="F127" s="44" t="n">
        <f aca="false">IF(D127="Receipt",E127,-E127)</f>
        <v>287692</v>
      </c>
      <c r="G127" s="5" t="s">
        <v>593</v>
      </c>
      <c r="H127" s="29" t="n">
        <f aca="false">IFERROR(INDEX(Bank_Statement!$F$6:$F$303,MATCH(G127,Bank_Statement!$C$6:$C$303,0)),"Not in bank")</f>
        <v>287692</v>
      </c>
      <c r="I127" s="44" t="n">
        <f aca="false">IF(ISNUMBER(H127),H127-F127,"")</f>
        <v>0</v>
      </c>
      <c r="J127" s="27" t="str">
        <f aca="false">IF(NOT(ISNUMBER(H127)),"Not in bank",IF(ABS(I127)&lt;=Setup!$B$9,"Matched","Amount difference"))</f>
        <v>Matched</v>
      </c>
    </row>
    <row r="128" customFormat="false" ht="15" hidden="false" customHeight="false" outlineLevel="0" collapsed="false">
      <c r="A128" s="41" t="n">
        <v>46196</v>
      </c>
      <c r="B128" s="5" t="s">
        <v>594</v>
      </c>
      <c r="C128" s="45" t="s">
        <v>1053</v>
      </c>
      <c r="D128" s="5" t="s">
        <v>901</v>
      </c>
      <c r="E128" s="43" t="n">
        <v>135859</v>
      </c>
      <c r="F128" s="44" t="n">
        <f aca="false">IF(D128="Receipt",E128,-E128)</f>
        <v>135859</v>
      </c>
      <c r="G128" s="5" t="s">
        <v>595</v>
      </c>
      <c r="H128" s="29" t="n">
        <f aca="false">IFERROR(INDEX(Bank_Statement!$F$6:$F$303,MATCH(G128,Bank_Statement!$C$6:$C$303,0)),"Not in bank")</f>
        <v>135859</v>
      </c>
      <c r="I128" s="44" t="n">
        <f aca="false">IF(ISNUMBER(H128),H128-F128,"")</f>
        <v>0</v>
      </c>
      <c r="J128" s="27" t="str">
        <f aca="false">IF(NOT(ISNUMBER(H128)),"Not in bank",IF(ABS(I128)&lt;=Setup!$B$9,"Matched","Amount difference"))</f>
        <v>Matched</v>
      </c>
    </row>
    <row r="129" customFormat="false" ht="15" hidden="false" customHeight="false" outlineLevel="0" collapsed="false">
      <c r="A129" s="41" t="n">
        <v>46197</v>
      </c>
      <c r="B129" s="5" t="s">
        <v>596</v>
      </c>
      <c r="C129" s="45" t="s">
        <v>1054</v>
      </c>
      <c r="D129" s="5" t="s">
        <v>901</v>
      </c>
      <c r="E129" s="43" t="n">
        <v>204871</v>
      </c>
      <c r="F129" s="44" t="n">
        <f aca="false">IF(D129="Receipt",E129,-E129)</f>
        <v>204871</v>
      </c>
      <c r="G129" s="5" t="s">
        <v>597</v>
      </c>
      <c r="H129" s="29" t="n">
        <f aca="false">IFERROR(INDEX(Bank_Statement!$F$6:$F$303,MATCH(G129,Bank_Statement!$C$6:$C$303,0)),"Not in bank")</f>
        <v>204871</v>
      </c>
      <c r="I129" s="44" t="n">
        <f aca="false">IF(ISNUMBER(H129),H129-F129,"")</f>
        <v>0</v>
      </c>
      <c r="J129" s="27" t="str">
        <f aca="false">IF(NOT(ISNUMBER(H129)),"Not in bank",IF(ABS(I129)&lt;=Setup!$B$9,"Matched","Amount difference"))</f>
        <v>Matched</v>
      </c>
    </row>
    <row r="130" customFormat="false" ht="15" hidden="false" customHeight="false" outlineLevel="0" collapsed="false">
      <c r="A130" s="41" t="n">
        <v>46197</v>
      </c>
      <c r="B130" s="5" t="s">
        <v>598</v>
      </c>
      <c r="C130" s="45" t="s">
        <v>1055</v>
      </c>
      <c r="D130" s="5" t="s">
        <v>901</v>
      </c>
      <c r="E130" s="43" t="n">
        <v>267497</v>
      </c>
      <c r="F130" s="44" t="n">
        <f aca="false">IF(D130="Receipt",E130,-E130)</f>
        <v>267497</v>
      </c>
      <c r="G130" s="5" t="s">
        <v>599</v>
      </c>
      <c r="H130" s="29" t="n">
        <f aca="false">IFERROR(INDEX(Bank_Statement!$F$6:$F$303,MATCH(G130,Bank_Statement!$C$6:$C$303,0)),"Not in bank")</f>
        <v>267497</v>
      </c>
      <c r="I130" s="44" t="n">
        <f aca="false">IF(ISNUMBER(H130),H130-F130,"")</f>
        <v>0</v>
      </c>
      <c r="J130" s="27" t="str">
        <f aca="false">IF(NOT(ISNUMBER(H130)),"Not in bank",IF(ABS(I130)&lt;=Setup!$B$9,"Matched","Amount difference"))</f>
        <v>Matched</v>
      </c>
    </row>
    <row r="131" customFormat="false" ht="15" hidden="false" customHeight="false" outlineLevel="0" collapsed="false">
      <c r="A131" s="41" t="n">
        <v>46197</v>
      </c>
      <c r="B131" s="5" t="s">
        <v>600</v>
      </c>
      <c r="C131" s="45" t="s">
        <v>1056</v>
      </c>
      <c r="D131" s="5" t="s">
        <v>901</v>
      </c>
      <c r="E131" s="43" t="n">
        <v>98579</v>
      </c>
      <c r="F131" s="44" t="n">
        <f aca="false">IF(D131="Receipt",E131,-E131)</f>
        <v>98579</v>
      </c>
      <c r="G131" s="5" t="s">
        <v>601</v>
      </c>
      <c r="H131" s="29" t="n">
        <f aca="false">IFERROR(INDEX(Bank_Statement!$F$6:$F$303,MATCH(G131,Bank_Statement!$C$6:$C$303,0)),"Not in bank")</f>
        <v>98579</v>
      </c>
      <c r="I131" s="44" t="n">
        <f aca="false">IF(ISNUMBER(H131),H131-F131,"")</f>
        <v>0</v>
      </c>
      <c r="J131" s="27" t="str">
        <f aca="false">IF(NOT(ISNUMBER(H131)),"Not in bank",IF(ABS(I131)&lt;=Setup!$B$9,"Matched","Amount difference"))</f>
        <v>Matched</v>
      </c>
    </row>
    <row r="132" customFormat="false" ht="15" hidden="false" customHeight="false" outlineLevel="0" collapsed="false">
      <c r="A132" s="41" t="n">
        <v>46197</v>
      </c>
      <c r="B132" s="5" t="s">
        <v>602</v>
      </c>
      <c r="C132" s="45" t="s">
        <v>1057</v>
      </c>
      <c r="D132" s="5" t="s">
        <v>901</v>
      </c>
      <c r="E132" s="43" t="n">
        <v>301053</v>
      </c>
      <c r="F132" s="44" t="n">
        <f aca="false">IF(D132="Receipt",E132,-E132)</f>
        <v>301053</v>
      </c>
      <c r="G132" s="5" t="s">
        <v>603</v>
      </c>
      <c r="H132" s="29" t="n">
        <f aca="false">IFERROR(INDEX(Bank_Statement!$F$6:$F$303,MATCH(G132,Bank_Statement!$C$6:$C$303,0)),"Not in bank")</f>
        <v>301053</v>
      </c>
      <c r="I132" s="44" t="n">
        <f aca="false">IF(ISNUMBER(H132),H132-F132,"")</f>
        <v>0</v>
      </c>
      <c r="J132" s="27" t="str">
        <f aca="false">IF(NOT(ISNUMBER(H132)),"Not in bank",IF(ABS(I132)&lt;=Setup!$B$9,"Matched","Amount difference"))</f>
        <v>Matched</v>
      </c>
    </row>
    <row r="133" customFormat="false" ht="15" hidden="false" customHeight="false" outlineLevel="0" collapsed="false">
      <c r="A133" s="41" t="n">
        <v>46197</v>
      </c>
      <c r="B133" s="5" t="s">
        <v>1058</v>
      </c>
      <c r="C133" s="45" t="s">
        <v>907</v>
      </c>
      <c r="D133" s="5" t="s">
        <v>892</v>
      </c>
      <c r="E133" s="43" t="n">
        <v>4391000</v>
      </c>
      <c r="F133" s="44" t="n">
        <f aca="false">IF(D133="Receipt",E133,-E133)</f>
        <v>-4391000</v>
      </c>
      <c r="G133" s="5" t="s">
        <v>1059</v>
      </c>
      <c r="H133" s="29" t="n">
        <f aca="false">IFERROR(INDEX(Bank_Statement!$F$6:$F$303,MATCH(G133,Bank_Statement!$C$6:$C$303,0)),"Not in bank")</f>
        <v>-4391000</v>
      </c>
      <c r="I133" s="44" t="n">
        <f aca="false">IF(ISNUMBER(H133),H133-F133,"")</f>
        <v>0</v>
      </c>
      <c r="J133" s="27" t="str">
        <f aca="false">IF(NOT(ISNUMBER(H133)),"Not in bank",IF(ABS(I133)&lt;=Setup!$B$9,"Matched","Amount difference"))</f>
        <v>Matched</v>
      </c>
    </row>
    <row r="134" customFormat="false" ht="15" hidden="false" customHeight="false" outlineLevel="0" collapsed="false">
      <c r="A134" s="41" t="n">
        <v>46198</v>
      </c>
      <c r="B134" s="5" t="s">
        <v>604</v>
      </c>
      <c r="C134" s="45" t="s">
        <v>1060</v>
      </c>
      <c r="D134" s="5" t="s">
        <v>901</v>
      </c>
      <c r="E134" s="43" t="n">
        <v>355158</v>
      </c>
      <c r="F134" s="44" t="n">
        <f aca="false">IF(D134="Receipt",E134,-E134)</f>
        <v>355158</v>
      </c>
      <c r="G134" s="5" t="s">
        <v>605</v>
      </c>
      <c r="H134" s="29" t="n">
        <f aca="false">IFERROR(INDEX(Bank_Statement!$F$6:$F$303,MATCH(G134,Bank_Statement!$C$6:$C$303,0)),"Not in bank")</f>
        <v>355158</v>
      </c>
      <c r="I134" s="44" t="n">
        <f aca="false">IF(ISNUMBER(H134),H134-F134,"")</f>
        <v>0</v>
      </c>
      <c r="J134" s="27" t="str">
        <f aca="false">IF(NOT(ISNUMBER(H134)),"Not in bank",IF(ABS(I134)&lt;=Setup!$B$9,"Matched","Amount difference"))</f>
        <v>Matched</v>
      </c>
    </row>
    <row r="135" customFormat="false" ht="15" hidden="false" customHeight="false" outlineLevel="0" collapsed="false">
      <c r="A135" s="41" t="n">
        <v>46198</v>
      </c>
      <c r="B135" s="5" t="s">
        <v>606</v>
      </c>
      <c r="C135" s="45" t="s">
        <v>1061</v>
      </c>
      <c r="D135" s="5" t="s">
        <v>901</v>
      </c>
      <c r="E135" s="43" t="n">
        <v>267766</v>
      </c>
      <c r="F135" s="44" t="n">
        <f aca="false">IF(D135="Receipt",E135,-E135)</f>
        <v>267766</v>
      </c>
      <c r="G135" s="5" t="s">
        <v>607</v>
      </c>
      <c r="H135" s="29" t="n">
        <f aca="false">IFERROR(INDEX(Bank_Statement!$F$6:$F$303,MATCH(G135,Bank_Statement!$C$6:$C$303,0)),"Not in bank")</f>
        <v>267766</v>
      </c>
      <c r="I135" s="44" t="n">
        <f aca="false">IF(ISNUMBER(H135),H135-F135,"")</f>
        <v>0</v>
      </c>
      <c r="J135" s="27" t="str">
        <f aca="false">IF(NOT(ISNUMBER(H135)),"Not in bank",IF(ABS(I135)&lt;=Setup!$B$9,"Matched","Amount difference"))</f>
        <v>Matched</v>
      </c>
    </row>
    <row r="136" customFormat="false" ht="15" hidden="false" customHeight="false" outlineLevel="0" collapsed="false">
      <c r="A136" s="41" t="n">
        <v>46198</v>
      </c>
      <c r="B136" s="5" t="s">
        <v>608</v>
      </c>
      <c r="C136" s="45" t="s">
        <v>1062</v>
      </c>
      <c r="D136" s="5" t="s">
        <v>901</v>
      </c>
      <c r="E136" s="43" t="n">
        <v>298867</v>
      </c>
      <c r="F136" s="44" t="n">
        <f aca="false">IF(D136="Receipt",E136,-E136)</f>
        <v>298867</v>
      </c>
      <c r="G136" s="5" t="s">
        <v>609</v>
      </c>
      <c r="H136" s="29" t="n">
        <f aca="false">IFERROR(INDEX(Bank_Statement!$F$6:$F$303,MATCH(G136,Bank_Statement!$C$6:$C$303,0)),"Not in bank")</f>
        <v>298867</v>
      </c>
      <c r="I136" s="44" t="n">
        <f aca="false">IF(ISNUMBER(H136),H136-F136,"")</f>
        <v>0</v>
      </c>
      <c r="J136" s="27" t="str">
        <f aca="false">IF(NOT(ISNUMBER(H136)),"Not in bank",IF(ABS(I136)&lt;=Setup!$B$9,"Matched","Amount difference"))</f>
        <v>Matched</v>
      </c>
    </row>
    <row r="137" customFormat="false" ht="15" hidden="false" customHeight="false" outlineLevel="0" collapsed="false">
      <c r="A137" s="41" t="n">
        <v>46200</v>
      </c>
      <c r="B137" s="5" t="s">
        <v>1063</v>
      </c>
      <c r="C137" s="45" t="s">
        <v>998</v>
      </c>
      <c r="D137" s="5" t="s">
        <v>892</v>
      </c>
      <c r="E137" s="43" t="n">
        <v>123936</v>
      </c>
      <c r="F137" s="44" t="n">
        <f aca="false">IF(D137="Receipt",E137,-E137)</f>
        <v>-123936</v>
      </c>
      <c r="G137" s="5" t="s">
        <v>1064</v>
      </c>
      <c r="H137" s="29" t="n">
        <f aca="false">IFERROR(INDEX(Bank_Statement!$F$6:$F$303,MATCH(G137,Bank_Statement!$C$6:$C$303,0)),"Not in bank")</f>
        <v>-123936</v>
      </c>
      <c r="I137" s="44" t="n">
        <f aca="false">IF(ISNUMBER(H137),H137-F137,"")</f>
        <v>0</v>
      </c>
      <c r="J137" s="27" t="str">
        <f aca="false">IF(NOT(ISNUMBER(H137)),"Not in bank",IF(ABS(I137)&lt;=Setup!$B$9,"Matched","Amount difference"))</f>
        <v>Matched</v>
      </c>
    </row>
    <row r="138" customFormat="false" ht="15" hidden="false" customHeight="false" outlineLevel="0" collapsed="false">
      <c r="A138" s="41" t="n">
        <v>46201</v>
      </c>
      <c r="B138" s="5" t="s">
        <v>610</v>
      </c>
      <c r="C138" s="45" t="s">
        <v>1065</v>
      </c>
      <c r="D138" s="5" t="s">
        <v>901</v>
      </c>
      <c r="E138" s="43" t="n">
        <v>169429</v>
      </c>
      <c r="F138" s="44" t="n">
        <f aca="false">IF(D138="Receipt",E138,-E138)</f>
        <v>169429</v>
      </c>
      <c r="G138" s="5" t="s">
        <v>611</v>
      </c>
      <c r="H138" s="29" t="n">
        <f aca="false">IFERROR(INDEX(Bank_Statement!$F$6:$F$303,MATCH(G138,Bank_Statement!$C$6:$C$303,0)),"Not in bank")</f>
        <v>169429</v>
      </c>
      <c r="I138" s="44" t="n">
        <f aca="false">IF(ISNUMBER(H138),H138-F138,"")</f>
        <v>0</v>
      </c>
      <c r="J138" s="27" t="str">
        <f aca="false">IF(NOT(ISNUMBER(H138)),"Not in bank",IF(ABS(I138)&lt;=Setup!$B$9,"Matched","Amount difference"))</f>
        <v>Matched</v>
      </c>
    </row>
    <row r="139" customFormat="false" ht="15" hidden="false" customHeight="false" outlineLevel="0" collapsed="false">
      <c r="A139" s="41" t="n">
        <v>46201</v>
      </c>
      <c r="B139" s="5" t="s">
        <v>612</v>
      </c>
      <c r="C139" s="45" t="s">
        <v>1066</v>
      </c>
      <c r="D139" s="5" t="s">
        <v>901</v>
      </c>
      <c r="E139" s="43" t="n">
        <v>282617</v>
      </c>
      <c r="F139" s="44" t="n">
        <f aca="false">IF(D139="Receipt",E139,-E139)</f>
        <v>282617</v>
      </c>
      <c r="G139" s="5" t="s">
        <v>613</v>
      </c>
      <c r="H139" s="29" t="n">
        <f aca="false">IFERROR(INDEX(Bank_Statement!$F$6:$F$303,MATCH(G139,Bank_Statement!$C$6:$C$303,0)),"Not in bank")</f>
        <v>282617</v>
      </c>
      <c r="I139" s="44" t="n">
        <f aca="false">IF(ISNUMBER(H139),H139-F139,"")</f>
        <v>0</v>
      </c>
      <c r="J139" s="27" t="str">
        <f aca="false">IF(NOT(ISNUMBER(H139)),"Not in bank",IF(ABS(I139)&lt;=Setup!$B$9,"Matched","Amount difference"))</f>
        <v>Matched</v>
      </c>
    </row>
    <row r="140" customFormat="false" ht="15" hidden="false" customHeight="false" outlineLevel="0" collapsed="false">
      <c r="A140" s="41" t="n">
        <v>46202</v>
      </c>
      <c r="B140" s="5" t="s">
        <v>614</v>
      </c>
      <c r="C140" s="45" t="s">
        <v>1067</v>
      </c>
      <c r="D140" s="5" t="s">
        <v>901</v>
      </c>
      <c r="E140" s="43" t="n">
        <v>56647</v>
      </c>
      <c r="F140" s="44" t="n">
        <f aca="false">IF(D140="Receipt",E140,-E140)</f>
        <v>56647</v>
      </c>
      <c r="G140" s="5" t="s">
        <v>615</v>
      </c>
      <c r="H140" s="29" t="n">
        <f aca="false">IFERROR(INDEX(Bank_Statement!$F$6:$F$303,MATCH(G140,Bank_Statement!$C$6:$C$303,0)),"Not in bank")</f>
        <v>56647</v>
      </c>
      <c r="I140" s="44" t="n">
        <f aca="false">IF(ISNUMBER(H140),H140-F140,"")</f>
        <v>0</v>
      </c>
      <c r="J140" s="27" t="str">
        <f aca="false">IF(NOT(ISNUMBER(H140)),"Not in bank",IF(ABS(I140)&lt;=Setup!$B$9,"Matched","Amount difference"))</f>
        <v>Matched</v>
      </c>
    </row>
    <row r="141" customFormat="false" ht="15" hidden="false" customHeight="false" outlineLevel="0" collapsed="false">
      <c r="A141" s="41" t="n">
        <v>46202</v>
      </c>
      <c r="B141" s="5" t="s">
        <v>616</v>
      </c>
      <c r="C141" s="45" t="s">
        <v>1068</v>
      </c>
      <c r="D141" s="5" t="s">
        <v>901</v>
      </c>
      <c r="E141" s="43" t="n">
        <v>278385</v>
      </c>
      <c r="F141" s="44" t="n">
        <f aca="false">IF(D141="Receipt",E141,-E141)</f>
        <v>278385</v>
      </c>
      <c r="G141" s="5" t="s">
        <v>617</v>
      </c>
      <c r="H141" s="29" t="n">
        <f aca="false">IFERROR(INDEX(Bank_Statement!$F$6:$F$303,MATCH(G141,Bank_Statement!$C$6:$C$303,0)),"Not in bank")</f>
        <v>278385</v>
      </c>
      <c r="I141" s="44" t="n">
        <f aca="false">IF(ISNUMBER(H141),H141-F141,"")</f>
        <v>0</v>
      </c>
      <c r="J141" s="27" t="str">
        <f aca="false">IF(NOT(ISNUMBER(H141)),"Not in bank",IF(ABS(I141)&lt;=Setup!$B$9,"Matched","Amount difference"))</f>
        <v>Matched</v>
      </c>
    </row>
    <row r="142" customFormat="false" ht="15" hidden="false" customHeight="false" outlineLevel="0" collapsed="false">
      <c r="A142" s="41" t="n">
        <v>46203</v>
      </c>
      <c r="B142" s="5" t="s">
        <v>618</v>
      </c>
      <c r="C142" s="45" t="s">
        <v>1069</v>
      </c>
      <c r="D142" s="5" t="s">
        <v>901</v>
      </c>
      <c r="E142" s="43" t="n">
        <v>223807</v>
      </c>
      <c r="F142" s="44" t="n">
        <f aca="false">IF(D142="Receipt",E142,-E142)</f>
        <v>223807</v>
      </c>
      <c r="G142" s="5" t="s">
        <v>619</v>
      </c>
      <c r="H142" s="29" t="n">
        <f aca="false">IFERROR(INDEX(Bank_Statement!$F$6:$F$303,MATCH(G142,Bank_Statement!$C$6:$C$303,0)),"Not in bank")</f>
        <v>223807</v>
      </c>
      <c r="I142" s="44" t="n">
        <f aca="false">IF(ISNUMBER(H142),H142-F142,"")</f>
        <v>0</v>
      </c>
      <c r="J142" s="27" t="str">
        <f aca="false">IF(NOT(ISNUMBER(H142)),"Not in bank",IF(ABS(I142)&lt;=Setup!$B$9,"Matched","Amount difference"))</f>
        <v>Matched</v>
      </c>
    </row>
    <row r="143" customFormat="false" ht="15" hidden="false" customHeight="false" outlineLevel="0" collapsed="false">
      <c r="A143" s="41" t="n">
        <v>46203</v>
      </c>
      <c r="B143" s="5" t="s">
        <v>1070</v>
      </c>
      <c r="C143" s="45" t="s">
        <v>1071</v>
      </c>
      <c r="D143" s="5" t="s">
        <v>901</v>
      </c>
      <c r="E143" s="43" t="n">
        <v>3420</v>
      </c>
      <c r="F143" s="44" t="n">
        <f aca="false">IF(D143="Receipt",E143,-E143)</f>
        <v>3420</v>
      </c>
      <c r="G143" s="5" t="s">
        <v>1072</v>
      </c>
      <c r="H143" s="29" t="n">
        <f aca="false">IFERROR(INDEX(Bank_Statement!$F$6:$F$303,MATCH(G143,Bank_Statement!$C$6:$C$303,0)),"Not in bank")</f>
        <v>3420</v>
      </c>
      <c r="I143" s="44" t="n">
        <f aca="false">IF(ISNUMBER(H143),H143-F143,"")</f>
        <v>0</v>
      </c>
      <c r="J143" s="27" t="str">
        <f aca="false">IF(NOT(ISNUMBER(H143)),"Not in bank",IF(ABS(I143)&lt;=Setup!$B$9,"Matched","Amount difference"))</f>
        <v>Matched</v>
      </c>
    </row>
    <row r="144" customFormat="false" ht="15" hidden="false" customHeight="false" outlineLevel="0" collapsed="false">
      <c r="A144" s="41" t="n">
        <v>46203</v>
      </c>
      <c r="B144" s="5" t="s">
        <v>1073</v>
      </c>
      <c r="C144" s="45" t="s">
        <v>917</v>
      </c>
      <c r="D144" s="5" t="s">
        <v>892</v>
      </c>
      <c r="E144" s="43" t="n">
        <v>48324</v>
      </c>
      <c r="F144" s="44" t="n">
        <f aca="false">IF(D144="Receipt",E144,-E144)</f>
        <v>-48324</v>
      </c>
      <c r="G144" s="5" t="s">
        <v>1074</v>
      </c>
      <c r="H144" s="29" t="n">
        <f aca="false">IFERROR(INDEX(Bank_Statement!$F$6:$F$303,MATCH(G144,Bank_Statement!$C$6:$C$303,0)),"Not in bank")</f>
        <v>-48324</v>
      </c>
      <c r="I144" s="44" t="n">
        <f aca="false">IF(ISNUMBER(H144),H144-F144,"")</f>
        <v>0</v>
      </c>
      <c r="J144" s="27" t="str">
        <f aca="false">IF(NOT(ISNUMBER(H144)),"Not in bank",IF(ABS(I144)&lt;=Setup!$B$9,"Matched","Amount difference"))</f>
        <v>Matched</v>
      </c>
    </row>
    <row r="145" customFormat="false" ht="15" hidden="false" customHeight="false" outlineLevel="0" collapsed="false">
      <c r="A145" s="41" t="n">
        <v>46203</v>
      </c>
      <c r="B145" s="5" t="s">
        <v>1075</v>
      </c>
      <c r="C145" s="45" t="s">
        <v>1076</v>
      </c>
      <c r="D145" s="5" t="s">
        <v>892</v>
      </c>
      <c r="E145" s="43" t="n">
        <v>590</v>
      </c>
      <c r="F145" s="44" t="n">
        <f aca="false">IF(D145="Receipt",E145,-E145)</f>
        <v>-590</v>
      </c>
      <c r="G145" s="5" t="s">
        <v>1077</v>
      </c>
      <c r="H145" s="29" t="n">
        <f aca="false">IFERROR(INDEX(Bank_Statement!$F$6:$F$303,MATCH(G145,Bank_Statement!$C$6:$C$303,0)),"Not in bank")</f>
        <v>-590</v>
      </c>
      <c r="I145" s="44" t="n">
        <f aca="false">IF(ISNUMBER(H145),H145-F145,"")</f>
        <v>0</v>
      </c>
      <c r="J145" s="27" t="str">
        <f aca="false">IF(NOT(ISNUMBER(H145)),"Not in bank",IF(ABS(I145)&lt;=Setup!$B$9,"Matched","Amount difference"))</f>
        <v>Matched</v>
      </c>
    </row>
    <row r="146" customFormat="false" ht="15" hidden="false" customHeight="false" outlineLevel="0" collapsed="false">
      <c r="A146" s="41" t="n">
        <v>46204</v>
      </c>
      <c r="B146" s="5" t="s">
        <v>620</v>
      </c>
      <c r="C146" s="45" t="s">
        <v>1078</v>
      </c>
      <c r="D146" s="5" t="s">
        <v>901</v>
      </c>
      <c r="E146" s="43" t="n">
        <v>478648</v>
      </c>
      <c r="F146" s="44" t="n">
        <f aca="false">IF(D146="Receipt",E146,-E146)</f>
        <v>478648</v>
      </c>
      <c r="G146" s="5" t="s">
        <v>621</v>
      </c>
      <c r="H146" s="29" t="n">
        <f aca="false">IFERROR(INDEX(Bank_Statement!$F$6:$F$303,MATCH(G146,Bank_Statement!$C$6:$C$303,0)),"Not in bank")</f>
        <v>478648</v>
      </c>
      <c r="I146" s="44" t="n">
        <f aca="false">IF(ISNUMBER(H146),H146-F146,"")</f>
        <v>0</v>
      </c>
      <c r="J146" s="27" t="str">
        <f aca="false">IF(NOT(ISNUMBER(H146)),"Not in bank",IF(ABS(I146)&lt;=Setup!$B$9,"Matched","Amount difference"))</f>
        <v>Matched</v>
      </c>
    </row>
    <row r="147" customFormat="false" ht="15" hidden="false" customHeight="false" outlineLevel="0" collapsed="false">
      <c r="A147" s="41" t="n">
        <v>46204</v>
      </c>
      <c r="B147" s="5" t="s">
        <v>1079</v>
      </c>
      <c r="C147" s="45" t="s">
        <v>1080</v>
      </c>
      <c r="D147" s="5" t="s">
        <v>892</v>
      </c>
      <c r="E147" s="43" t="n">
        <v>370000</v>
      </c>
      <c r="F147" s="44" t="n">
        <f aca="false">IF(D147="Receipt",E147,-E147)</f>
        <v>-370000</v>
      </c>
      <c r="G147" s="5" t="s">
        <v>1081</v>
      </c>
      <c r="H147" s="29" t="n">
        <f aca="false">IFERROR(INDEX(Bank_Statement!$F$6:$F$303,MATCH(G147,Bank_Statement!$C$6:$C$303,0)),"Not in bank")</f>
        <v>-370000</v>
      </c>
      <c r="I147" s="44" t="n">
        <f aca="false">IF(ISNUMBER(H147),H147-F147,"")</f>
        <v>0</v>
      </c>
      <c r="J147" s="27" t="str">
        <f aca="false">IF(NOT(ISNUMBER(H147)),"Not in bank",IF(ABS(I147)&lt;=Setup!$B$9,"Matched","Amount difference"))</f>
        <v>Matched</v>
      </c>
    </row>
    <row r="148" customFormat="false" ht="15" hidden="false" customHeight="false" outlineLevel="0" collapsed="false">
      <c r="A148" s="41" t="n">
        <v>46206</v>
      </c>
      <c r="B148" s="5" t="s">
        <v>622</v>
      </c>
      <c r="C148" s="45" t="s">
        <v>1082</v>
      </c>
      <c r="D148" s="5" t="s">
        <v>901</v>
      </c>
      <c r="E148" s="43" t="n">
        <v>388417</v>
      </c>
      <c r="F148" s="44" t="n">
        <f aca="false">IF(D148="Receipt",E148,-E148)</f>
        <v>388417</v>
      </c>
      <c r="G148" s="5" t="s">
        <v>623</v>
      </c>
      <c r="H148" s="29" t="n">
        <f aca="false">IFERROR(INDEX(Bank_Statement!$F$6:$F$303,MATCH(G148,Bank_Statement!$C$6:$C$303,0)),"Not in bank")</f>
        <v>388417</v>
      </c>
      <c r="I148" s="44" t="n">
        <f aca="false">IF(ISNUMBER(H148),H148-F148,"")</f>
        <v>0</v>
      </c>
      <c r="J148" s="27" t="str">
        <f aca="false">IF(NOT(ISNUMBER(H148)),"Not in bank",IF(ABS(I148)&lt;=Setup!$B$9,"Matched","Amount difference"))</f>
        <v>Matched</v>
      </c>
    </row>
    <row r="149" customFormat="false" ht="15" hidden="false" customHeight="false" outlineLevel="0" collapsed="false">
      <c r="A149" s="41" t="n">
        <v>46208</v>
      </c>
      <c r="B149" s="5" t="s">
        <v>624</v>
      </c>
      <c r="C149" s="45" t="s">
        <v>1034</v>
      </c>
      <c r="D149" s="5" t="s">
        <v>901</v>
      </c>
      <c r="E149" s="43" t="n">
        <v>108223</v>
      </c>
      <c r="F149" s="44" t="n">
        <f aca="false">IF(D149="Receipt",E149,-E149)</f>
        <v>108223</v>
      </c>
      <c r="G149" s="5" t="s">
        <v>625</v>
      </c>
      <c r="H149" s="29" t="n">
        <f aca="false">IFERROR(INDEX(Bank_Statement!$F$6:$F$303,MATCH(G149,Bank_Statement!$C$6:$C$303,0)),"Not in bank")</f>
        <v>108223</v>
      </c>
      <c r="I149" s="44" t="n">
        <f aca="false">IF(ISNUMBER(H149),H149-F149,"")</f>
        <v>0</v>
      </c>
      <c r="J149" s="27" t="str">
        <f aca="false">IF(NOT(ISNUMBER(H149)),"Not in bank",IF(ABS(I149)&lt;=Setup!$B$9,"Matched","Amount difference"))</f>
        <v>Matched</v>
      </c>
    </row>
    <row r="150" customFormat="false" ht="15" hidden="false" customHeight="false" outlineLevel="0" collapsed="false">
      <c r="A150" s="41" t="n">
        <v>46208</v>
      </c>
      <c r="B150" s="5" t="s">
        <v>1083</v>
      </c>
      <c r="C150" s="45" t="s">
        <v>898</v>
      </c>
      <c r="D150" s="5" t="s">
        <v>892</v>
      </c>
      <c r="E150" s="43" t="n">
        <v>95000</v>
      </c>
      <c r="F150" s="44" t="n">
        <f aca="false">IF(D150="Receipt",E150,-E150)</f>
        <v>-95000</v>
      </c>
      <c r="G150" s="5" t="s">
        <v>1084</v>
      </c>
      <c r="H150" s="29" t="n">
        <f aca="false">IFERROR(INDEX(Bank_Statement!$F$6:$F$303,MATCH(G150,Bank_Statement!$C$6:$C$303,0)),"Not in bank")</f>
        <v>-95000</v>
      </c>
      <c r="I150" s="44" t="n">
        <f aca="false">IF(ISNUMBER(H150),H150-F150,"")</f>
        <v>0</v>
      </c>
      <c r="J150" s="27" t="str">
        <f aca="false">IF(NOT(ISNUMBER(H150)),"Not in bank",IF(ABS(I150)&lt;=Setup!$B$9,"Matched","Amount difference"))</f>
        <v>Matched</v>
      </c>
    </row>
    <row r="151" customFormat="false" ht="15" hidden="false" customHeight="false" outlineLevel="0" collapsed="false">
      <c r="A151" s="41" t="n">
        <v>46210</v>
      </c>
      <c r="B151" s="5" t="s">
        <v>626</v>
      </c>
      <c r="C151" s="45" t="s">
        <v>1085</v>
      </c>
      <c r="D151" s="5" t="s">
        <v>901</v>
      </c>
      <c r="E151" s="43" t="n">
        <v>256184</v>
      </c>
      <c r="F151" s="44" t="n">
        <f aca="false">IF(D151="Receipt",E151,-E151)</f>
        <v>256184</v>
      </c>
      <c r="G151" s="5" t="s">
        <v>627</v>
      </c>
      <c r="H151" s="29" t="n">
        <f aca="false">IFERROR(INDEX(Bank_Statement!$F$6:$F$303,MATCH(G151,Bank_Statement!$C$6:$C$303,0)),"Not in bank")</f>
        <v>256184</v>
      </c>
      <c r="I151" s="44" t="n">
        <f aca="false">IF(ISNUMBER(H151),H151-F151,"")</f>
        <v>0</v>
      </c>
      <c r="J151" s="27" t="str">
        <f aca="false">IF(NOT(ISNUMBER(H151)),"Not in bank",IF(ABS(I151)&lt;=Setup!$B$9,"Matched","Amount difference"))</f>
        <v>Matched</v>
      </c>
    </row>
    <row r="152" customFormat="false" ht="15" hidden="false" customHeight="false" outlineLevel="0" collapsed="false">
      <c r="A152" s="41" t="n">
        <v>46212</v>
      </c>
      <c r="B152" s="5" t="s">
        <v>628</v>
      </c>
      <c r="C152" s="45" t="s">
        <v>1086</v>
      </c>
      <c r="D152" s="5" t="s">
        <v>901</v>
      </c>
      <c r="E152" s="43" t="n">
        <v>380009</v>
      </c>
      <c r="F152" s="44" t="n">
        <f aca="false">IF(D152="Receipt",E152,-E152)</f>
        <v>380009</v>
      </c>
      <c r="G152" s="5" t="s">
        <v>629</v>
      </c>
      <c r="H152" s="29" t="n">
        <f aca="false">IFERROR(INDEX(Bank_Statement!$F$6:$F$303,MATCH(G152,Bank_Statement!$C$6:$C$303,0)),"Not in bank")</f>
        <v>380009</v>
      </c>
      <c r="I152" s="44" t="n">
        <f aca="false">IF(ISNUMBER(H152),H152-F152,"")</f>
        <v>0</v>
      </c>
      <c r="J152" s="27" t="str">
        <f aca="false">IF(NOT(ISNUMBER(H152)),"Not in bank",IF(ABS(I152)&lt;=Setup!$B$9,"Matched","Amount difference"))</f>
        <v>Matched</v>
      </c>
    </row>
    <row r="153" customFormat="false" ht="15" hidden="false" customHeight="false" outlineLevel="0" collapsed="false">
      <c r="A153" s="41" t="n">
        <v>46213</v>
      </c>
      <c r="B153" s="5" t="s">
        <v>630</v>
      </c>
      <c r="C153" s="45" t="s">
        <v>1087</v>
      </c>
      <c r="D153" s="5" t="s">
        <v>901</v>
      </c>
      <c r="E153" s="43" t="n">
        <v>227276</v>
      </c>
      <c r="F153" s="44" t="n">
        <f aca="false">IF(D153="Receipt",E153,-E153)</f>
        <v>227276</v>
      </c>
      <c r="G153" s="5" t="s">
        <v>631</v>
      </c>
      <c r="H153" s="29" t="n">
        <f aca="false">IFERROR(INDEX(Bank_Statement!$F$6:$F$303,MATCH(G153,Bank_Statement!$C$6:$C$303,0)),"Not in bank")</f>
        <v>227276</v>
      </c>
      <c r="I153" s="44" t="n">
        <f aca="false">IF(ISNUMBER(H153),H153-F153,"")</f>
        <v>0</v>
      </c>
      <c r="J153" s="27" t="str">
        <f aca="false">IF(NOT(ISNUMBER(H153)),"Not in bank",IF(ABS(I153)&lt;=Setup!$B$9,"Matched","Amount difference"))</f>
        <v>Matched</v>
      </c>
    </row>
    <row r="154" customFormat="false" ht="15" hidden="false" customHeight="false" outlineLevel="0" collapsed="false">
      <c r="A154" s="41" t="n">
        <v>46213</v>
      </c>
      <c r="B154" s="5" t="s">
        <v>1088</v>
      </c>
      <c r="C154" s="45" t="s">
        <v>907</v>
      </c>
      <c r="D154" s="5" t="s">
        <v>892</v>
      </c>
      <c r="E154" s="43" t="n">
        <v>3246000</v>
      </c>
      <c r="F154" s="44" t="n">
        <f aca="false">IF(D154="Receipt",E154,-E154)</f>
        <v>-3246000</v>
      </c>
      <c r="G154" s="5" t="s">
        <v>1089</v>
      </c>
      <c r="H154" s="29" t="n">
        <f aca="false">IFERROR(INDEX(Bank_Statement!$F$6:$F$303,MATCH(G154,Bank_Statement!$C$6:$C$303,0)),"Not in bank")</f>
        <v>-3246000</v>
      </c>
      <c r="I154" s="44" t="n">
        <f aca="false">IF(ISNUMBER(H154),H154-F154,"")</f>
        <v>0</v>
      </c>
      <c r="J154" s="27" t="str">
        <f aca="false">IF(NOT(ISNUMBER(H154)),"Not in bank",IF(ABS(I154)&lt;=Setup!$B$9,"Matched","Amount difference"))</f>
        <v>Matched</v>
      </c>
    </row>
    <row r="155" customFormat="false" ht="15" hidden="false" customHeight="false" outlineLevel="0" collapsed="false">
      <c r="A155" s="41" t="n">
        <v>46214</v>
      </c>
      <c r="B155" s="5" t="s">
        <v>632</v>
      </c>
      <c r="C155" s="45" t="s">
        <v>1090</v>
      </c>
      <c r="D155" s="5" t="s">
        <v>901</v>
      </c>
      <c r="E155" s="43" t="n">
        <v>403840</v>
      </c>
      <c r="F155" s="44" t="n">
        <f aca="false">IF(D155="Receipt",E155,-E155)</f>
        <v>403840</v>
      </c>
      <c r="G155" s="5" t="s">
        <v>633</v>
      </c>
      <c r="H155" s="29" t="n">
        <f aca="false">IFERROR(INDEX(Bank_Statement!$F$6:$F$303,MATCH(G155,Bank_Statement!$C$6:$C$303,0)),"Not in bank")</f>
        <v>403840</v>
      </c>
      <c r="I155" s="44" t="n">
        <f aca="false">IF(ISNUMBER(H155),H155-F155,"")</f>
        <v>0</v>
      </c>
      <c r="J155" s="27" t="str">
        <f aca="false">IF(NOT(ISNUMBER(H155)),"Not in bank",IF(ABS(I155)&lt;=Setup!$B$9,"Matched","Amount difference"))</f>
        <v>Matched</v>
      </c>
    </row>
    <row r="156" customFormat="false" ht="15" hidden="false" customHeight="false" outlineLevel="0" collapsed="false">
      <c r="A156" s="41" t="n">
        <v>46214</v>
      </c>
      <c r="B156" s="5" t="s">
        <v>634</v>
      </c>
      <c r="C156" s="45" t="s">
        <v>1057</v>
      </c>
      <c r="D156" s="5" t="s">
        <v>901</v>
      </c>
      <c r="E156" s="43" t="n">
        <v>134313</v>
      </c>
      <c r="F156" s="44" t="n">
        <f aca="false">IF(D156="Receipt",E156,-E156)</f>
        <v>134313</v>
      </c>
      <c r="G156" s="5" t="s">
        <v>635</v>
      </c>
      <c r="H156" s="29" t="n">
        <f aca="false">IFERROR(INDEX(Bank_Statement!$F$6:$F$303,MATCH(G156,Bank_Statement!$C$6:$C$303,0)),"Not in bank")</f>
        <v>134313</v>
      </c>
      <c r="I156" s="44" t="n">
        <f aca="false">IF(ISNUMBER(H156),H156-F156,"")</f>
        <v>0</v>
      </c>
      <c r="J156" s="27" t="str">
        <f aca="false">IF(NOT(ISNUMBER(H156)),"Not in bank",IF(ABS(I156)&lt;=Setup!$B$9,"Matched","Amount difference"))</f>
        <v>Matched</v>
      </c>
    </row>
    <row r="157" customFormat="false" ht="15" hidden="false" customHeight="false" outlineLevel="0" collapsed="false">
      <c r="A157" s="41" t="n">
        <v>46214</v>
      </c>
      <c r="B157" s="5" t="s">
        <v>636</v>
      </c>
      <c r="C157" s="45" t="s">
        <v>1091</v>
      </c>
      <c r="D157" s="5" t="s">
        <v>901</v>
      </c>
      <c r="E157" s="43" t="n">
        <v>160464</v>
      </c>
      <c r="F157" s="44" t="n">
        <f aca="false">IF(D157="Receipt",E157,-E157)</f>
        <v>160464</v>
      </c>
      <c r="G157" s="5" t="s">
        <v>637</v>
      </c>
      <c r="H157" s="29" t="n">
        <f aca="false">IFERROR(INDEX(Bank_Statement!$F$6:$F$303,MATCH(G157,Bank_Statement!$C$6:$C$303,0)),"Not in bank")</f>
        <v>160464</v>
      </c>
      <c r="I157" s="44" t="n">
        <f aca="false">IF(ISNUMBER(H157),H157-F157,"")</f>
        <v>0</v>
      </c>
      <c r="J157" s="27" t="str">
        <f aca="false">IF(NOT(ISNUMBER(H157)),"Not in bank",IF(ABS(I157)&lt;=Setup!$B$9,"Matched","Amount difference"))</f>
        <v>Matched</v>
      </c>
    </row>
    <row r="158" customFormat="false" ht="15" hidden="false" customHeight="false" outlineLevel="0" collapsed="false">
      <c r="A158" s="41" t="n">
        <v>46215</v>
      </c>
      <c r="B158" s="5" t="s">
        <v>638</v>
      </c>
      <c r="C158" s="45" t="s">
        <v>1092</v>
      </c>
      <c r="D158" s="5" t="s">
        <v>901</v>
      </c>
      <c r="E158" s="43" t="n">
        <v>165693</v>
      </c>
      <c r="F158" s="44" t="n">
        <f aca="false">IF(D158="Receipt",E158,-E158)</f>
        <v>165693</v>
      </c>
      <c r="G158" s="5" t="s">
        <v>639</v>
      </c>
      <c r="H158" s="29" t="n">
        <f aca="false">IFERROR(INDEX(Bank_Statement!$F$6:$F$303,MATCH(G158,Bank_Statement!$C$6:$C$303,0)),"Not in bank")</f>
        <v>165693</v>
      </c>
      <c r="I158" s="44" t="n">
        <f aca="false">IF(ISNUMBER(H158),H158-F158,"")</f>
        <v>0</v>
      </c>
      <c r="J158" s="27" t="str">
        <f aca="false">IF(NOT(ISNUMBER(H158)),"Not in bank",IF(ABS(I158)&lt;=Setup!$B$9,"Matched","Amount difference"))</f>
        <v>Matched</v>
      </c>
    </row>
    <row r="159" customFormat="false" ht="15" hidden="false" customHeight="false" outlineLevel="0" collapsed="false">
      <c r="A159" s="41" t="n">
        <v>46215</v>
      </c>
      <c r="B159" s="5" t="s">
        <v>640</v>
      </c>
      <c r="C159" s="45" t="s">
        <v>1093</v>
      </c>
      <c r="D159" s="5" t="s">
        <v>901</v>
      </c>
      <c r="E159" s="43" t="n">
        <v>302246</v>
      </c>
      <c r="F159" s="44" t="n">
        <f aca="false">IF(D159="Receipt",E159,-E159)</f>
        <v>302246</v>
      </c>
      <c r="G159" s="5" t="s">
        <v>641</v>
      </c>
      <c r="H159" s="29" t="n">
        <f aca="false">IFERROR(INDEX(Bank_Statement!$F$6:$F$303,MATCH(G159,Bank_Statement!$C$6:$C$303,0)),"Not in bank")</f>
        <v>302246</v>
      </c>
      <c r="I159" s="44" t="n">
        <f aca="false">IF(ISNUMBER(H159),H159-F159,"")</f>
        <v>0</v>
      </c>
      <c r="J159" s="27" t="str">
        <f aca="false">IF(NOT(ISNUMBER(H159)),"Not in bank",IF(ABS(I159)&lt;=Setup!$B$9,"Matched","Amount difference"))</f>
        <v>Matched</v>
      </c>
    </row>
    <row r="160" customFormat="false" ht="15" hidden="false" customHeight="false" outlineLevel="0" collapsed="false">
      <c r="A160" s="41" t="n">
        <v>46215</v>
      </c>
      <c r="B160" s="5" t="s">
        <v>642</v>
      </c>
      <c r="C160" s="45" t="s">
        <v>1094</v>
      </c>
      <c r="D160" s="5" t="s">
        <v>901</v>
      </c>
      <c r="E160" s="43" t="n">
        <v>100109</v>
      </c>
      <c r="F160" s="44" t="n">
        <f aca="false">IF(D160="Receipt",E160,-E160)</f>
        <v>100109</v>
      </c>
      <c r="G160" s="5" t="s">
        <v>643</v>
      </c>
      <c r="H160" s="29" t="n">
        <f aca="false">IFERROR(INDEX(Bank_Statement!$F$6:$F$303,MATCH(G160,Bank_Statement!$C$6:$C$303,0)),"Not in bank")</f>
        <v>101009</v>
      </c>
      <c r="I160" s="44" t="n">
        <f aca="false">IF(ISNUMBER(H160),H160-F160,"")</f>
        <v>900</v>
      </c>
      <c r="J160" s="27" t="str">
        <f aca="false">IF(NOT(ISNUMBER(H160)),"Not in bank",IF(ABS(I160)&lt;=Setup!$B$9,"Matched","Amount difference"))</f>
        <v>Amount difference</v>
      </c>
    </row>
    <row r="161" customFormat="false" ht="15" hidden="false" customHeight="false" outlineLevel="0" collapsed="false">
      <c r="A161" s="41" t="n">
        <v>46216</v>
      </c>
      <c r="B161" s="5" t="s">
        <v>644</v>
      </c>
      <c r="C161" s="45" t="s">
        <v>1095</v>
      </c>
      <c r="D161" s="5" t="s">
        <v>901</v>
      </c>
      <c r="E161" s="43" t="n">
        <v>121413</v>
      </c>
      <c r="F161" s="44" t="n">
        <f aca="false">IF(D161="Receipt",E161,-E161)</f>
        <v>121413</v>
      </c>
      <c r="G161" s="5" t="s">
        <v>645</v>
      </c>
      <c r="H161" s="29" t="n">
        <f aca="false">IFERROR(INDEX(Bank_Statement!$F$6:$F$303,MATCH(G161,Bank_Statement!$C$6:$C$303,0)),"Not in bank")</f>
        <v>121413</v>
      </c>
      <c r="I161" s="44" t="n">
        <f aca="false">IF(ISNUMBER(H161),H161-F161,"")</f>
        <v>0</v>
      </c>
      <c r="J161" s="27" t="str">
        <f aca="false">IF(NOT(ISNUMBER(H161)),"Not in bank",IF(ABS(I161)&lt;=Setup!$B$9,"Matched","Amount difference"))</f>
        <v>Matched</v>
      </c>
    </row>
    <row r="162" customFormat="false" ht="15" hidden="false" customHeight="false" outlineLevel="0" collapsed="false">
      <c r="A162" s="41" t="n">
        <v>46216</v>
      </c>
      <c r="B162" s="5" t="s">
        <v>646</v>
      </c>
      <c r="C162" s="45" t="s">
        <v>1096</v>
      </c>
      <c r="D162" s="5" t="s">
        <v>901</v>
      </c>
      <c r="E162" s="43" t="n">
        <v>110064</v>
      </c>
      <c r="F162" s="44" t="n">
        <f aca="false">IF(D162="Receipt",E162,-E162)</f>
        <v>110064</v>
      </c>
      <c r="G162" s="5" t="s">
        <v>647</v>
      </c>
      <c r="H162" s="29" t="n">
        <f aca="false">IFERROR(INDEX(Bank_Statement!$F$6:$F$303,MATCH(G162,Bank_Statement!$C$6:$C$303,0)),"Not in bank")</f>
        <v>110064</v>
      </c>
      <c r="I162" s="44" t="n">
        <f aca="false">IF(ISNUMBER(H162),H162-F162,"")</f>
        <v>0</v>
      </c>
      <c r="J162" s="27" t="str">
        <f aca="false">IF(NOT(ISNUMBER(H162)),"Not in bank",IF(ABS(I162)&lt;=Setup!$B$9,"Matched","Amount difference"))</f>
        <v>Matched</v>
      </c>
    </row>
    <row r="163" customFormat="false" ht="15" hidden="false" customHeight="false" outlineLevel="0" collapsed="false">
      <c r="A163" s="41" t="n">
        <v>46216</v>
      </c>
      <c r="B163" s="5" t="s">
        <v>648</v>
      </c>
      <c r="C163" s="45" t="s">
        <v>1097</v>
      </c>
      <c r="D163" s="5" t="s">
        <v>901</v>
      </c>
      <c r="E163" s="43" t="n">
        <v>190471</v>
      </c>
      <c r="F163" s="44" t="n">
        <f aca="false">IF(D163="Receipt",E163,-E163)</f>
        <v>190471</v>
      </c>
      <c r="G163" s="5" t="s">
        <v>649</v>
      </c>
      <c r="H163" s="29" t="n">
        <f aca="false">IFERROR(INDEX(Bank_Statement!$F$6:$F$303,MATCH(G163,Bank_Statement!$C$6:$C$303,0)),"Not in bank")</f>
        <v>190471</v>
      </c>
      <c r="I163" s="44" t="n">
        <f aca="false">IF(ISNUMBER(H163),H163-F163,"")</f>
        <v>0</v>
      </c>
      <c r="J163" s="27" t="str">
        <f aca="false">IF(NOT(ISNUMBER(H163)),"Not in bank",IF(ABS(I163)&lt;=Setup!$B$9,"Matched","Amount difference"))</f>
        <v>Matched</v>
      </c>
    </row>
    <row r="164" customFormat="false" ht="15" hidden="false" customHeight="false" outlineLevel="0" collapsed="false">
      <c r="A164" s="41" t="n">
        <v>46217</v>
      </c>
      <c r="B164" s="5" t="s">
        <v>650</v>
      </c>
      <c r="C164" s="45" t="s">
        <v>1098</v>
      </c>
      <c r="D164" s="5" t="s">
        <v>901</v>
      </c>
      <c r="E164" s="43" t="n">
        <v>70625</v>
      </c>
      <c r="F164" s="44" t="n">
        <f aca="false">IF(D164="Receipt",E164,-E164)</f>
        <v>70625</v>
      </c>
      <c r="G164" s="5" t="s">
        <v>651</v>
      </c>
      <c r="H164" s="29" t="n">
        <f aca="false">IFERROR(INDEX(Bank_Statement!$F$6:$F$303,MATCH(G164,Bank_Statement!$C$6:$C$303,0)),"Not in bank")</f>
        <v>70625</v>
      </c>
      <c r="I164" s="44" t="n">
        <f aca="false">IF(ISNUMBER(H164),H164-F164,"")</f>
        <v>0</v>
      </c>
      <c r="J164" s="27" t="str">
        <f aca="false">IF(NOT(ISNUMBER(H164)),"Not in bank",IF(ABS(I164)&lt;=Setup!$B$9,"Matched","Amount difference"))</f>
        <v>Matched</v>
      </c>
    </row>
    <row r="165" customFormat="false" ht="15" hidden="false" customHeight="false" outlineLevel="0" collapsed="false">
      <c r="A165" s="41" t="n">
        <v>46217</v>
      </c>
      <c r="B165" s="5" t="s">
        <v>652</v>
      </c>
      <c r="C165" s="45" t="s">
        <v>1099</v>
      </c>
      <c r="D165" s="5" t="s">
        <v>901</v>
      </c>
      <c r="E165" s="43" t="n">
        <v>58331</v>
      </c>
      <c r="F165" s="44" t="n">
        <f aca="false">IF(D165="Receipt",E165,-E165)</f>
        <v>58331</v>
      </c>
      <c r="G165" s="5" t="s">
        <v>653</v>
      </c>
      <c r="H165" s="29" t="n">
        <f aca="false">IFERROR(INDEX(Bank_Statement!$F$6:$F$303,MATCH(G165,Bank_Statement!$C$6:$C$303,0)),"Not in bank")</f>
        <v>58331</v>
      </c>
      <c r="I165" s="44" t="n">
        <f aca="false">IF(ISNUMBER(H165),H165-F165,"")</f>
        <v>0</v>
      </c>
      <c r="J165" s="27" t="str">
        <f aca="false">IF(NOT(ISNUMBER(H165)),"Not in bank",IF(ABS(I165)&lt;=Setup!$B$9,"Matched","Amount difference"))</f>
        <v>Matched</v>
      </c>
    </row>
    <row r="166" customFormat="false" ht="15" hidden="false" customHeight="false" outlineLevel="0" collapsed="false">
      <c r="A166" s="41" t="n">
        <v>46218</v>
      </c>
      <c r="B166" s="5" t="s">
        <v>654</v>
      </c>
      <c r="C166" s="45" t="s">
        <v>1053</v>
      </c>
      <c r="D166" s="5" t="s">
        <v>901</v>
      </c>
      <c r="E166" s="43" t="n">
        <v>115733</v>
      </c>
      <c r="F166" s="44" t="n">
        <f aca="false">IF(D166="Receipt",E166,-E166)</f>
        <v>115733</v>
      </c>
      <c r="G166" s="5" t="s">
        <v>655</v>
      </c>
      <c r="H166" s="29" t="n">
        <f aca="false">IFERROR(INDEX(Bank_Statement!$F$6:$F$303,MATCH(G166,Bank_Statement!$C$6:$C$303,0)),"Not in bank")</f>
        <v>115733</v>
      </c>
      <c r="I166" s="44" t="n">
        <f aca="false">IF(ISNUMBER(H166),H166-F166,"")</f>
        <v>0</v>
      </c>
      <c r="J166" s="27" t="str">
        <f aca="false">IF(NOT(ISNUMBER(H166)),"Not in bank",IF(ABS(I166)&lt;=Setup!$B$9,"Matched","Amount difference"))</f>
        <v>Matched</v>
      </c>
    </row>
    <row r="167" customFormat="false" ht="15" hidden="false" customHeight="false" outlineLevel="0" collapsed="false">
      <c r="A167" s="41" t="n">
        <v>46218</v>
      </c>
      <c r="B167" s="5" t="s">
        <v>656</v>
      </c>
      <c r="C167" s="45" t="s">
        <v>1100</v>
      </c>
      <c r="D167" s="5" t="s">
        <v>901</v>
      </c>
      <c r="E167" s="43" t="n">
        <v>185761</v>
      </c>
      <c r="F167" s="44" t="n">
        <f aca="false">IF(D167="Receipt",E167,-E167)</f>
        <v>185761</v>
      </c>
      <c r="G167" s="5" t="s">
        <v>657</v>
      </c>
      <c r="H167" s="29" t="n">
        <f aca="false">IFERROR(INDEX(Bank_Statement!$F$6:$F$303,MATCH(G167,Bank_Statement!$C$6:$C$303,0)),"Not in bank")</f>
        <v>185761</v>
      </c>
      <c r="I167" s="44" t="n">
        <f aca="false">IF(ISNUMBER(H167),H167-F167,"")</f>
        <v>0</v>
      </c>
      <c r="J167" s="27" t="str">
        <f aca="false">IF(NOT(ISNUMBER(H167)),"Not in bank",IF(ABS(I167)&lt;=Setup!$B$9,"Matched","Amount difference"))</f>
        <v>Matched</v>
      </c>
    </row>
    <row r="168" customFormat="false" ht="15" hidden="false" customHeight="false" outlineLevel="0" collapsed="false">
      <c r="A168" s="41" t="n">
        <v>46219</v>
      </c>
      <c r="B168" s="5" t="s">
        <v>658</v>
      </c>
      <c r="C168" s="45" t="s">
        <v>1101</v>
      </c>
      <c r="D168" s="5" t="s">
        <v>901</v>
      </c>
      <c r="E168" s="43" t="n">
        <v>146154</v>
      </c>
      <c r="F168" s="44" t="n">
        <f aca="false">IF(D168="Receipt",E168,-E168)</f>
        <v>146154</v>
      </c>
      <c r="G168" s="5" t="s">
        <v>659</v>
      </c>
      <c r="H168" s="29" t="n">
        <f aca="false">IFERROR(INDEX(Bank_Statement!$F$6:$F$303,MATCH(G168,Bank_Statement!$C$6:$C$303,0)),"Not in bank")</f>
        <v>146154</v>
      </c>
      <c r="I168" s="44" t="n">
        <f aca="false">IF(ISNUMBER(H168),H168-F168,"")</f>
        <v>0</v>
      </c>
      <c r="J168" s="27" t="str">
        <f aca="false">IF(NOT(ISNUMBER(H168)),"Not in bank",IF(ABS(I168)&lt;=Setup!$B$9,"Matched","Amount difference"))</f>
        <v>Matched</v>
      </c>
    </row>
    <row r="169" customFormat="false" ht="15" hidden="false" customHeight="false" outlineLevel="0" collapsed="false">
      <c r="A169" s="41" t="n">
        <v>46219</v>
      </c>
      <c r="B169" s="5" t="s">
        <v>660</v>
      </c>
      <c r="C169" s="45" t="s">
        <v>1102</v>
      </c>
      <c r="D169" s="5" t="s">
        <v>901</v>
      </c>
      <c r="E169" s="43" t="n">
        <v>442222</v>
      </c>
      <c r="F169" s="44" t="n">
        <f aca="false">IF(D169="Receipt",E169,-E169)</f>
        <v>442222</v>
      </c>
      <c r="G169" s="5" t="s">
        <v>661</v>
      </c>
      <c r="H169" s="29" t="n">
        <f aca="false">IFERROR(INDEX(Bank_Statement!$F$6:$F$303,MATCH(G169,Bank_Statement!$C$6:$C$303,0)),"Not in bank")</f>
        <v>442222</v>
      </c>
      <c r="I169" s="44" t="n">
        <f aca="false">IF(ISNUMBER(H169),H169-F169,"")</f>
        <v>0</v>
      </c>
      <c r="J169" s="27" t="str">
        <f aca="false">IF(NOT(ISNUMBER(H169)),"Not in bank",IF(ABS(I169)&lt;=Setup!$B$9,"Matched","Amount difference"))</f>
        <v>Matched</v>
      </c>
    </row>
    <row r="170" customFormat="false" ht="15" hidden="false" customHeight="false" outlineLevel="0" collapsed="false">
      <c r="A170" s="41" t="n">
        <v>46220</v>
      </c>
      <c r="B170" s="5" t="s">
        <v>662</v>
      </c>
      <c r="C170" s="45" t="s">
        <v>1103</v>
      </c>
      <c r="D170" s="5" t="s">
        <v>901</v>
      </c>
      <c r="E170" s="43" t="n">
        <v>120297</v>
      </c>
      <c r="F170" s="44" t="n">
        <f aca="false">IF(D170="Receipt",E170,-E170)</f>
        <v>120297</v>
      </c>
      <c r="G170" s="5" t="s">
        <v>663</v>
      </c>
      <c r="H170" s="29" t="n">
        <f aca="false">IFERROR(INDEX(Bank_Statement!$F$6:$F$303,MATCH(G170,Bank_Statement!$C$6:$C$303,0)),"Not in bank")</f>
        <v>120297</v>
      </c>
      <c r="I170" s="44" t="n">
        <f aca="false">IF(ISNUMBER(H170),H170-F170,"")</f>
        <v>0</v>
      </c>
      <c r="J170" s="27" t="str">
        <f aca="false">IF(NOT(ISNUMBER(H170)),"Not in bank",IF(ABS(I170)&lt;=Setup!$B$9,"Matched","Amount difference"))</f>
        <v>Matched</v>
      </c>
    </row>
    <row r="171" customFormat="false" ht="15" hidden="false" customHeight="false" outlineLevel="0" collapsed="false">
      <c r="A171" s="41" t="n">
        <v>46223</v>
      </c>
      <c r="B171" s="5" t="s">
        <v>664</v>
      </c>
      <c r="C171" s="45" t="s">
        <v>1104</v>
      </c>
      <c r="D171" s="5" t="s">
        <v>901</v>
      </c>
      <c r="E171" s="43" t="n">
        <v>518574</v>
      </c>
      <c r="F171" s="44" t="n">
        <f aca="false">IF(D171="Receipt",E171,-E171)</f>
        <v>518574</v>
      </c>
      <c r="G171" s="5" t="s">
        <v>665</v>
      </c>
      <c r="H171" s="29" t="n">
        <f aca="false">IFERROR(INDEX(Bank_Statement!$F$6:$F$303,MATCH(G171,Bank_Statement!$C$6:$C$303,0)),"Not in bank")</f>
        <v>518574</v>
      </c>
      <c r="I171" s="44" t="n">
        <f aca="false">IF(ISNUMBER(H171),H171-F171,"")</f>
        <v>0</v>
      </c>
      <c r="J171" s="27" t="str">
        <f aca="false">IF(NOT(ISNUMBER(H171)),"Not in bank",IF(ABS(I171)&lt;=Setup!$B$9,"Matched","Amount difference"))</f>
        <v>Matched</v>
      </c>
    </row>
    <row r="172" customFormat="false" ht="15" hidden="false" customHeight="false" outlineLevel="0" collapsed="false">
      <c r="A172" s="41" t="n">
        <v>46223</v>
      </c>
      <c r="B172" s="5" t="s">
        <v>666</v>
      </c>
      <c r="C172" s="45" t="s">
        <v>1105</v>
      </c>
      <c r="D172" s="5" t="s">
        <v>901</v>
      </c>
      <c r="E172" s="43" t="n">
        <v>140233</v>
      </c>
      <c r="F172" s="44" t="n">
        <f aca="false">IF(D172="Receipt",E172,-E172)</f>
        <v>140233</v>
      </c>
      <c r="G172" s="5" t="s">
        <v>667</v>
      </c>
      <c r="H172" s="29" t="n">
        <f aca="false">IFERROR(INDEX(Bank_Statement!$F$6:$F$303,MATCH(G172,Bank_Statement!$C$6:$C$303,0)),"Not in bank")</f>
        <v>140233</v>
      </c>
      <c r="I172" s="44" t="n">
        <f aca="false">IF(ISNUMBER(H172),H172-F172,"")</f>
        <v>0</v>
      </c>
      <c r="J172" s="27" t="str">
        <f aca="false">IF(NOT(ISNUMBER(H172)),"Not in bank",IF(ABS(I172)&lt;=Setup!$B$9,"Matched","Amount difference"))</f>
        <v>Matched</v>
      </c>
    </row>
    <row r="173" customFormat="false" ht="15" hidden="false" customHeight="false" outlineLevel="0" collapsed="false">
      <c r="A173" s="41" t="n">
        <v>46223</v>
      </c>
      <c r="B173" s="5" t="s">
        <v>1106</v>
      </c>
      <c r="C173" s="45" t="s">
        <v>924</v>
      </c>
      <c r="D173" s="5" t="s">
        <v>892</v>
      </c>
      <c r="E173" s="43" t="n">
        <v>210000</v>
      </c>
      <c r="F173" s="44" t="n">
        <f aca="false">IF(D173="Receipt",E173,-E173)</f>
        <v>-210000</v>
      </c>
      <c r="G173" s="5" t="s">
        <v>1107</v>
      </c>
      <c r="H173" s="29" t="n">
        <f aca="false">IFERROR(INDEX(Bank_Statement!$F$6:$F$303,MATCH(G173,Bank_Statement!$C$6:$C$303,0)),"Not in bank")</f>
        <v>-210000</v>
      </c>
      <c r="I173" s="44" t="n">
        <f aca="false">IF(ISNUMBER(H173),H173-F173,"")</f>
        <v>0</v>
      </c>
      <c r="J173" s="27" t="str">
        <f aca="false">IF(NOT(ISNUMBER(H173)),"Not in bank",IF(ABS(I173)&lt;=Setup!$B$9,"Matched","Amount difference"))</f>
        <v>Matched</v>
      </c>
    </row>
    <row r="174" customFormat="false" ht="15" hidden="false" customHeight="false" outlineLevel="0" collapsed="false">
      <c r="A174" s="41" t="n">
        <v>46224</v>
      </c>
      <c r="B174" s="5" t="s">
        <v>668</v>
      </c>
      <c r="C174" s="45" t="s">
        <v>1108</v>
      </c>
      <c r="D174" s="5" t="s">
        <v>901</v>
      </c>
      <c r="E174" s="43" t="n">
        <v>189315</v>
      </c>
      <c r="F174" s="44" t="n">
        <f aca="false">IF(D174="Receipt",E174,-E174)</f>
        <v>189315</v>
      </c>
      <c r="G174" s="5" t="s">
        <v>669</v>
      </c>
      <c r="H174" s="29" t="n">
        <f aca="false">IFERROR(INDEX(Bank_Statement!$F$6:$F$303,MATCH(G174,Bank_Statement!$C$6:$C$303,0)),"Not in bank")</f>
        <v>189315</v>
      </c>
      <c r="I174" s="44" t="n">
        <f aca="false">IF(ISNUMBER(H174),H174-F174,"")</f>
        <v>0</v>
      </c>
      <c r="J174" s="27" t="str">
        <f aca="false">IF(NOT(ISNUMBER(H174)),"Not in bank",IF(ABS(I174)&lt;=Setup!$B$9,"Matched","Amount difference"))</f>
        <v>Matched</v>
      </c>
    </row>
    <row r="175" customFormat="false" ht="15" hidden="false" customHeight="false" outlineLevel="0" collapsed="false">
      <c r="A175" s="41" t="n">
        <v>46225</v>
      </c>
      <c r="B175" s="5" t="s">
        <v>670</v>
      </c>
      <c r="C175" s="45" t="s">
        <v>1109</v>
      </c>
      <c r="D175" s="5" t="s">
        <v>901</v>
      </c>
      <c r="E175" s="43" t="n">
        <v>121206</v>
      </c>
      <c r="F175" s="44" t="n">
        <f aca="false">IF(D175="Receipt",E175,-E175)</f>
        <v>121206</v>
      </c>
      <c r="G175" s="5" t="s">
        <v>671</v>
      </c>
      <c r="H175" s="29" t="n">
        <f aca="false">IFERROR(INDEX(Bank_Statement!$F$6:$F$303,MATCH(G175,Bank_Statement!$C$6:$C$303,0)),"Not in bank")</f>
        <v>121206</v>
      </c>
      <c r="I175" s="44" t="n">
        <f aca="false">IF(ISNUMBER(H175),H175-F175,"")</f>
        <v>0</v>
      </c>
      <c r="J175" s="27" t="str">
        <f aca="false">IF(NOT(ISNUMBER(H175)),"Not in bank",IF(ABS(I175)&lt;=Setup!$B$9,"Matched","Amount difference"))</f>
        <v>Matched</v>
      </c>
    </row>
    <row r="176" customFormat="false" ht="15" hidden="false" customHeight="false" outlineLevel="0" collapsed="false">
      <c r="A176" s="41" t="n">
        <v>46225</v>
      </c>
      <c r="B176" s="5" t="s">
        <v>672</v>
      </c>
      <c r="C176" s="45" t="s">
        <v>1110</v>
      </c>
      <c r="D176" s="5" t="s">
        <v>901</v>
      </c>
      <c r="E176" s="43" t="n">
        <v>188210</v>
      </c>
      <c r="F176" s="44" t="n">
        <f aca="false">IF(D176="Receipt",E176,-E176)</f>
        <v>188210</v>
      </c>
      <c r="G176" s="5" t="s">
        <v>673</v>
      </c>
      <c r="H176" s="29" t="n">
        <f aca="false">IFERROR(INDEX(Bank_Statement!$F$6:$F$303,MATCH(G176,Bank_Statement!$C$6:$C$303,0)),"Not in bank")</f>
        <v>188210</v>
      </c>
      <c r="I176" s="44" t="n">
        <f aca="false">IF(ISNUMBER(H176),H176-F176,"")</f>
        <v>0</v>
      </c>
      <c r="J176" s="27" t="str">
        <f aca="false">IF(NOT(ISNUMBER(H176)),"Not in bank",IF(ABS(I176)&lt;=Setup!$B$9,"Matched","Amount difference"))</f>
        <v>Matched</v>
      </c>
    </row>
    <row r="177" customFormat="false" ht="15" hidden="false" customHeight="false" outlineLevel="0" collapsed="false">
      <c r="A177" s="41" t="n">
        <v>46225</v>
      </c>
      <c r="B177" s="5" t="s">
        <v>674</v>
      </c>
      <c r="C177" s="45" t="s">
        <v>1111</v>
      </c>
      <c r="D177" s="5" t="s">
        <v>901</v>
      </c>
      <c r="E177" s="43" t="n">
        <v>139616</v>
      </c>
      <c r="F177" s="44" t="n">
        <f aca="false">IF(D177="Receipt",E177,-E177)</f>
        <v>139616</v>
      </c>
      <c r="G177" s="5" t="s">
        <v>675</v>
      </c>
      <c r="H177" s="29" t="n">
        <f aca="false">IFERROR(INDEX(Bank_Statement!$F$6:$F$303,MATCH(G177,Bank_Statement!$C$6:$C$303,0)),"Not in bank")</f>
        <v>139616</v>
      </c>
      <c r="I177" s="44" t="n">
        <f aca="false">IF(ISNUMBER(H177),H177-F177,"")</f>
        <v>0</v>
      </c>
      <c r="J177" s="27" t="str">
        <f aca="false">IF(NOT(ISNUMBER(H177)),"Not in bank",IF(ABS(I177)&lt;=Setup!$B$9,"Matched","Amount difference"))</f>
        <v>Matched</v>
      </c>
    </row>
    <row r="178" customFormat="false" ht="15" hidden="false" customHeight="false" outlineLevel="0" collapsed="false">
      <c r="A178" s="41" t="n">
        <v>46226</v>
      </c>
      <c r="B178" s="5" t="s">
        <v>676</v>
      </c>
      <c r="C178" s="45" t="s">
        <v>1112</v>
      </c>
      <c r="D178" s="5" t="s">
        <v>901</v>
      </c>
      <c r="E178" s="43" t="n">
        <v>420434</v>
      </c>
      <c r="F178" s="44" t="n">
        <f aca="false">IF(D178="Receipt",E178,-E178)</f>
        <v>420434</v>
      </c>
      <c r="G178" s="5" t="s">
        <v>677</v>
      </c>
      <c r="H178" s="29" t="n">
        <f aca="false">IFERROR(INDEX(Bank_Statement!$F$6:$F$303,MATCH(G178,Bank_Statement!$C$6:$C$303,0)),"Not in bank")</f>
        <v>420434</v>
      </c>
      <c r="I178" s="44" t="n">
        <f aca="false">IF(ISNUMBER(H178),H178-F178,"")</f>
        <v>0</v>
      </c>
      <c r="J178" s="27" t="str">
        <f aca="false">IF(NOT(ISNUMBER(H178)),"Not in bank",IF(ABS(I178)&lt;=Setup!$B$9,"Matched","Amount difference"))</f>
        <v>Matched</v>
      </c>
    </row>
    <row r="179" customFormat="false" ht="15" hidden="false" customHeight="false" outlineLevel="0" collapsed="false">
      <c r="A179" s="41" t="n">
        <v>46226</v>
      </c>
      <c r="B179" s="5" t="s">
        <v>678</v>
      </c>
      <c r="C179" s="45" t="s">
        <v>1113</v>
      </c>
      <c r="D179" s="5" t="s">
        <v>901</v>
      </c>
      <c r="E179" s="43" t="n">
        <v>506035</v>
      </c>
      <c r="F179" s="44" t="n">
        <f aca="false">IF(D179="Receipt",E179,-E179)</f>
        <v>506035</v>
      </c>
      <c r="G179" s="5" t="s">
        <v>679</v>
      </c>
      <c r="H179" s="29" t="n">
        <f aca="false">IFERROR(INDEX(Bank_Statement!$F$6:$F$303,MATCH(G179,Bank_Statement!$C$6:$C$303,0)),"Not in bank")</f>
        <v>506035</v>
      </c>
      <c r="I179" s="44" t="n">
        <f aca="false">IF(ISNUMBER(H179),H179-F179,"")</f>
        <v>0</v>
      </c>
      <c r="J179" s="27" t="str">
        <f aca="false">IF(NOT(ISNUMBER(H179)),"Not in bank",IF(ABS(I179)&lt;=Setup!$B$9,"Matched","Amount difference"))</f>
        <v>Matched</v>
      </c>
    </row>
    <row r="180" customFormat="false" ht="15" hidden="false" customHeight="false" outlineLevel="0" collapsed="false">
      <c r="A180" s="41" t="n">
        <v>46227</v>
      </c>
      <c r="B180" s="5" t="s">
        <v>680</v>
      </c>
      <c r="C180" s="45" t="s">
        <v>1114</v>
      </c>
      <c r="D180" s="5" t="s">
        <v>901</v>
      </c>
      <c r="E180" s="43" t="n">
        <v>136512</v>
      </c>
      <c r="F180" s="44" t="n">
        <f aca="false">IF(D180="Receipt",E180,-E180)</f>
        <v>136512</v>
      </c>
      <c r="G180" s="5" t="s">
        <v>681</v>
      </c>
      <c r="H180" s="29" t="n">
        <f aca="false">IFERROR(INDEX(Bank_Statement!$F$6:$F$303,MATCH(G180,Bank_Statement!$C$6:$C$303,0)),"Not in bank")</f>
        <v>136512</v>
      </c>
      <c r="I180" s="44" t="n">
        <f aca="false">IF(ISNUMBER(H180),H180-F180,"")</f>
        <v>0</v>
      </c>
      <c r="J180" s="27" t="str">
        <f aca="false">IF(NOT(ISNUMBER(H180)),"Not in bank",IF(ABS(I180)&lt;=Setup!$B$9,"Matched","Amount difference"))</f>
        <v>Matched</v>
      </c>
    </row>
    <row r="181" customFormat="false" ht="15" hidden="false" customHeight="false" outlineLevel="0" collapsed="false">
      <c r="A181" s="41" t="n">
        <v>46227</v>
      </c>
      <c r="B181" s="5" t="s">
        <v>682</v>
      </c>
      <c r="C181" s="45" t="s">
        <v>1115</v>
      </c>
      <c r="D181" s="5" t="s">
        <v>901</v>
      </c>
      <c r="E181" s="43" t="n">
        <v>125040</v>
      </c>
      <c r="F181" s="44" t="n">
        <f aca="false">IF(D181="Receipt",E181,-E181)</f>
        <v>125040</v>
      </c>
      <c r="G181" s="5" t="s">
        <v>683</v>
      </c>
      <c r="H181" s="29" t="n">
        <f aca="false">IFERROR(INDEX(Bank_Statement!$F$6:$F$303,MATCH(G181,Bank_Statement!$C$6:$C$303,0)),"Not in bank")</f>
        <v>125040</v>
      </c>
      <c r="I181" s="44" t="n">
        <f aca="false">IF(ISNUMBER(H181),H181-F181,"")</f>
        <v>0</v>
      </c>
      <c r="J181" s="27" t="str">
        <f aca="false">IF(NOT(ISNUMBER(H181)),"Not in bank",IF(ABS(I181)&lt;=Setup!$B$9,"Matched","Amount difference"))</f>
        <v>Matched</v>
      </c>
    </row>
    <row r="182" customFormat="false" ht="15" hidden="false" customHeight="false" outlineLevel="0" collapsed="false">
      <c r="A182" s="41" t="n">
        <v>46227</v>
      </c>
      <c r="B182" s="5" t="s">
        <v>1116</v>
      </c>
      <c r="C182" s="45" t="s">
        <v>907</v>
      </c>
      <c r="D182" s="5" t="s">
        <v>892</v>
      </c>
      <c r="E182" s="43" t="n">
        <v>4569000</v>
      </c>
      <c r="F182" s="44" t="n">
        <f aca="false">IF(D182="Receipt",E182,-E182)</f>
        <v>-4569000</v>
      </c>
      <c r="G182" s="5" t="s">
        <v>1117</v>
      </c>
      <c r="H182" s="29" t="n">
        <f aca="false">IFERROR(INDEX(Bank_Statement!$F$6:$F$303,MATCH(G182,Bank_Statement!$C$6:$C$303,0)),"Not in bank")</f>
        <v>-4569000</v>
      </c>
      <c r="I182" s="44" t="n">
        <f aca="false">IF(ISNUMBER(H182),H182-F182,"")</f>
        <v>0</v>
      </c>
      <c r="J182" s="27" t="str">
        <f aca="false">IF(NOT(ISNUMBER(H182)),"Not in bank",IF(ABS(I182)&lt;=Setup!$B$9,"Matched","Amount difference"))</f>
        <v>Matched</v>
      </c>
    </row>
    <row r="183" customFormat="false" ht="15" hidden="false" customHeight="false" outlineLevel="0" collapsed="false">
      <c r="A183" s="41" t="n">
        <v>46228</v>
      </c>
      <c r="B183" s="5" t="s">
        <v>684</v>
      </c>
      <c r="C183" s="45" t="s">
        <v>1099</v>
      </c>
      <c r="D183" s="5" t="s">
        <v>901</v>
      </c>
      <c r="E183" s="43" t="n">
        <v>50479</v>
      </c>
      <c r="F183" s="44" t="n">
        <f aca="false">IF(D183="Receipt",E183,-E183)</f>
        <v>50479</v>
      </c>
      <c r="G183" s="5" t="s">
        <v>685</v>
      </c>
      <c r="H183" s="29" t="n">
        <f aca="false">IFERROR(INDEX(Bank_Statement!$F$6:$F$303,MATCH(G183,Bank_Statement!$C$6:$C$303,0)),"Not in bank")</f>
        <v>50479</v>
      </c>
      <c r="I183" s="44" t="n">
        <f aca="false">IF(ISNUMBER(H183),H183-F183,"")</f>
        <v>0</v>
      </c>
      <c r="J183" s="27" t="str">
        <f aca="false">IF(NOT(ISNUMBER(H183)),"Not in bank",IF(ABS(I183)&lt;=Setup!$B$9,"Matched","Amount difference"))</f>
        <v>Matched</v>
      </c>
    </row>
    <row r="184" customFormat="false" ht="15" hidden="false" customHeight="false" outlineLevel="0" collapsed="false">
      <c r="A184" s="41" t="n">
        <v>46229</v>
      </c>
      <c r="B184" s="5" t="s">
        <v>686</v>
      </c>
      <c r="C184" s="45" t="s">
        <v>1118</v>
      </c>
      <c r="D184" s="5" t="s">
        <v>901</v>
      </c>
      <c r="E184" s="43" t="n">
        <v>207167</v>
      </c>
      <c r="F184" s="44" t="n">
        <f aca="false">IF(D184="Receipt",E184,-E184)</f>
        <v>207167</v>
      </c>
      <c r="G184" s="5" t="s">
        <v>687</v>
      </c>
      <c r="H184" s="29" t="n">
        <f aca="false">IFERROR(INDEX(Bank_Statement!$F$6:$F$303,MATCH(G184,Bank_Statement!$C$6:$C$303,0)),"Not in bank")</f>
        <v>207167</v>
      </c>
      <c r="I184" s="44" t="n">
        <f aca="false">IF(ISNUMBER(H184),H184-F184,"")</f>
        <v>0</v>
      </c>
      <c r="J184" s="27" t="str">
        <f aca="false">IF(NOT(ISNUMBER(H184)),"Not in bank",IF(ABS(I184)&lt;=Setup!$B$9,"Matched","Amount difference"))</f>
        <v>Matched</v>
      </c>
    </row>
    <row r="185" customFormat="false" ht="15" hidden="false" customHeight="false" outlineLevel="0" collapsed="false">
      <c r="A185" s="41" t="n">
        <v>46229</v>
      </c>
      <c r="B185" s="5" t="s">
        <v>688</v>
      </c>
      <c r="C185" s="45" t="s">
        <v>1119</v>
      </c>
      <c r="D185" s="5" t="s">
        <v>901</v>
      </c>
      <c r="E185" s="43" t="n">
        <v>287796</v>
      </c>
      <c r="F185" s="44" t="n">
        <f aca="false">IF(D185="Receipt",E185,-E185)</f>
        <v>287796</v>
      </c>
      <c r="G185" s="5" t="s">
        <v>689</v>
      </c>
      <c r="H185" s="29" t="n">
        <f aca="false">IFERROR(INDEX(Bank_Statement!$F$6:$F$303,MATCH(G185,Bank_Statement!$C$6:$C$303,0)),"Not in bank")</f>
        <v>287796</v>
      </c>
      <c r="I185" s="44" t="n">
        <f aca="false">IF(ISNUMBER(H185),H185-F185,"")</f>
        <v>0</v>
      </c>
      <c r="J185" s="27" t="str">
        <f aca="false">IF(NOT(ISNUMBER(H185)),"Not in bank",IF(ABS(I185)&lt;=Setup!$B$9,"Matched","Amount difference"))</f>
        <v>Matched</v>
      </c>
    </row>
    <row r="186" customFormat="false" ht="15" hidden="false" customHeight="false" outlineLevel="0" collapsed="false">
      <c r="A186" s="41" t="n">
        <v>46229</v>
      </c>
      <c r="B186" s="5" t="s">
        <v>1120</v>
      </c>
      <c r="C186" s="45" t="s">
        <v>1121</v>
      </c>
      <c r="D186" s="5" t="s">
        <v>892</v>
      </c>
      <c r="E186" s="43" t="n">
        <v>121672</v>
      </c>
      <c r="F186" s="44" t="n">
        <f aca="false">IF(D186="Receipt",E186,-E186)</f>
        <v>-121672</v>
      </c>
      <c r="G186" s="5" t="s">
        <v>1122</v>
      </c>
      <c r="H186" s="29" t="n">
        <f aca="false">IFERROR(INDEX(Bank_Statement!$F$6:$F$303,MATCH(G186,Bank_Statement!$C$6:$C$303,0)),"Not in bank")</f>
        <v>-121672</v>
      </c>
      <c r="I186" s="44" t="n">
        <f aca="false">IF(ISNUMBER(H186),H186-F186,"")</f>
        <v>0</v>
      </c>
      <c r="J186" s="27" t="str">
        <f aca="false">IF(NOT(ISNUMBER(H186)),"Not in bank",IF(ABS(I186)&lt;=Setup!$B$9,"Matched","Amount difference"))</f>
        <v>Matched</v>
      </c>
    </row>
    <row r="187" customFormat="false" ht="15" hidden="false" customHeight="false" outlineLevel="0" collapsed="false">
      <c r="A187" s="41" t="n">
        <v>46231</v>
      </c>
      <c r="B187" s="5" t="s">
        <v>690</v>
      </c>
      <c r="C187" s="45" t="s">
        <v>1123</v>
      </c>
      <c r="D187" s="5" t="s">
        <v>901</v>
      </c>
      <c r="E187" s="43" t="n">
        <v>162976</v>
      </c>
      <c r="F187" s="44" t="n">
        <f aca="false">IF(D187="Receipt",E187,-E187)</f>
        <v>162976</v>
      </c>
      <c r="G187" s="5" t="s">
        <v>691</v>
      </c>
      <c r="H187" s="29" t="n">
        <f aca="false">IFERROR(INDEX(Bank_Statement!$F$6:$F$303,MATCH(G187,Bank_Statement!$C$6:$C$303,0)),"Not in bank")</f>
        <v>162976</v>
      </c>
      <c r="I187" s="44" t="n">
        <f aca="false">IF(ISNUMBER(H187),H187-F187,"")</f>
        <v>0</v>
      </c>
      <c r="J187" s="27" t="str">
        <f aca="false">IF(NOT(ISNUMBER(H187)),"Not in bank",IF(ABS(I187)&lt;=Setup!$B$9,"Matched","Amount difference"))</f>
        <v>Matched</v>
      </c>
    </row>
    <row r="188" customFormat="false" ht="15" hidden="false" customHeight="false" outlineLevel="0" collapsed="false">
      <c r="A188" s="41" t="n">
        <v>46234</v>
      </c>
      <c r="B188" s="5" t="s">
        <v>692</v>
      </c>
      <c r="C188" s="45" t="s">
        <v>1124</v>
      </c>
      <c r="D188" s="5" t="s">
        <v>901</v>
      </c>
      <c r="E188" s="43" t="n">
        <v>322513</v>
      </c>
      <c r="F188" s="44" t="n">
        <f aca="false">IF(D188="Receipt",E188,-E188)</f>
        <v>322513</v>
      </c>
      <c r="G188" s="5" t="s">
        <v>693</v>
      </c>
      <c r="H188" s="29" t="n">
        <f aca="false">IFERROR(INDEX(Bank_Statement!$F$6:$F$303,MATCH(G188,Bank_Statement!$C$6:$C$303,0)),"Not in bank")</f>
        <v>322513</v>
      </c>
      <c r="I188" s="44" t="n">
        <f aca="false">IF(ISNUMBER(H188),H188-F188,"")</f>
        <v>0</v>
      </c>
      <c r="J188" s="27" t="str">
        <f aca="false">IF(NOT(ISNUMBER(H188)),"Not in bank",IF(ABS(I188)&lt;=Setup!$B$9,"Matched","Amount difference"))</f>
        <v>Matched</v>
      </c>
    </row>
    <row r="189" customFormat="false" ht="15" hidden="false" customHeight="false" outlineLevel="0" collapsed="false">
      <c r="A189" s="41" t="n">
        <v>46234</v>
      </c>
      <c r="B189" s="5" t="s">
        <v>694</v>
      </c>
      <c r="C189" s="45" t="s">
        <v>1125</v>
      </c>
      <c r="D189" s="5" t="s">
        <v>901</v>
      </c>
      <c r="E189" s="43" t="n">
        <v>327167</v>
      </c>
      <c r="F189" s="44" t="n">
        <f aca="false">IF(D189="Receipt",E189,-E189)</f>
        <v>327167</v>
      </c>
      <c r="G189" s="5" t="s">
        <v>695</v>
      </c>
      <c r="H189" s="29" t="n">
        <f aca="false">IFERROR(INDEX(Bank_Statement!$F$6:$F$303,MATCH(G189,Bank_Statement!$C$6:$C$303,0)),"Not in bank")</f>
        <v>327167</v>
      </c>
      <c r="I189" s="44" t="n">
        <f aca="false">IF(ISNUMBER(H189),H189-F189,"")</f>
        <v>0</v>
      </c>
      <c r="J189" s="27" t="str">
        <f aca="false">IF(NOT(ISNUMBER(H189)),"Not in bank",IF(ABS(I189)&lt;=Setup!$B$9,"Matched","Amount difference"))</f>
        <v>Matched</v>
      </c>
    </row>
    <row r="190" customFormat="false" ht="15" hidden="false" customHeight="false" outlineLevel="0" collapsed="false">
      <c r="A190" s="41" t="n">
        <v>46234</v>
      </c>
      <c r="B190" s="5" t="s">
        <v>696</v>
      </c>
      <c r="C190" s="45" t="s">
        <v>1126</v>
      </c>
      <c r="D190" s="5" t="s">
        <v>901</v>
      </c>
      <c r="E190" s="43" t="n">
        <v>69629</v>
      </c>
      <c r="F190" s="44" t="n">
        <f aca="false">IF(D190="Receipt",E190,-E190)</f>
        <v>69629</v>
      </c>
      <c r="G190" s="5" t="s">
        <v>697</v>
      </c>
      <c r="H190" s="29" t="n">
        <f aca="false">IFERROR(INDEX(Bank_Statement!$F$6:$F$303,MATCH(G190,Bank_Statement!$C$6:$C$303,0)),"Not in bank")</f>
        <v>69511</v>
      </c>
      <c r="I190" s="44" t="n">
        <f aca="false">IF(ISNUMBER(H190),H190-F190,"")</f>
        <v>-118</v>
      </c>
      <c r="J190" s="27" t="str">
        <f aca="false">IF(NOT(ISNUMBER(H190)),"Not in bank",IF(ABS(I190)&lt;=Setup!$B$9,"Matched","Amount difference"))</f>
        <v>Amount difference</v>
      </c>
    </row>
    <row r="191" customFormat="false" ht="15" hidden="false" customHeight="false" outlineLevel="0" collapsed="false">
      <c r="A191" s="41" t="n">
        <v>46234</v>
      </c>
      <c r="B191" s="5" t="s">
        <v>698</v>
      </c>
      <c r="C191" s="45" t="s">
        <v>1127</v>
      </c>
      <c r="D191" s="5" t="s">
        <v>901</v>
      </c>
      <c r="E191" s="43" t="n">
        <v>232384</v>
      </c>
      <c r="F191" s="44" t="n">
        <f aca="false">IF(D191="Receipt",E191,-E191)</f>
        <v>232384</v>
      </c>
      <c r="G191" s="5" t="s">
        <v>699</v>
      </c>
      <c r="H191" s="29" t="n">
        <f aca="false">IFERROR(INDEX(Bank_Statement!$F$6:$F$303,MATCH(G191,Bank_Statement!$C$6:$C$303,0)),"Not in bank")</f>
        <v>232384</v>
      </c>
      <c r="I191" s="44" t="n">
        <f aca="false">IF(ISNUMBER(H191),H191-F191,"")</f>
        <v>0</v>
      </c>
      <c r="J191" s="27" t="str">
        <f aca="false">IF(NOT(ISNUMBER(H191)),"Not in bank",IF(ABS(I191)&lt;=Setup!$B$9,"Matched","Amount difference"))</f>
        <v>Matched</v>
      </c>
    </row>
    <row r="192" customFormat="false" ht="15" hidden="false" customHeight="false" outlineLevel="0" collapsed="false">
      <c r="A192" s="41" t="n">
        <v>46234</v>
      </c>
      <c r="B192" s="5" t="s">
        <v>1128</v>
      </c>
      <c r="C192" s="45" t="s">
        <v>1129</v>
      </c>
      <c r="D192" s="5" t="s">
        <v>892</v>
      </c>
      <c r="E192" s="43" t="n">
        <v>621</v>
      </c>
      <c r="F192" s="44" t="n">
        <f aca="false">IF(D192="Receipt",E192,-E192)</f>
        <v>-621</v>
      </c>
      <c r="G192" s="5" t="s">
        <v>1130</v>
      </c>
      <c r="H192" s="29" t="n">
        <f aca="false">IFERROR(INDEX(Bank_Statement!$F$6:$F$303,MATCH(G192,Bank_Statement!$C$6:$C$303,0)),"Not in bank")</f>
        <v>-621</v>
      </c>
      <c r="I192" s="44" t="n">
        <f aca="false">IF(ISNUMBER(H192),H192-F192,"")</f>
        <v>0</v>
      </c>
      <c r="J192" s="27" t="str">
        <f aca="false">IF(NOT(ISNUMBER(H192)),"Not in bank",IF(ABS(I192)&lt;=Setup!$B$9,"Matched","Amount difference"))</f>
        <v>Matched</v>
      </c>
    </row>
    <row r="193" customFormat="false" ht="15" hidden="false" customHeight="false" outlineLevel="0" collapsed="false">
      <c r="A193" s="41" t="n">
        <v>46235</v>
      </c>
      <c r="B193" s="5" t="s">
        <v>700</v>
      </c>
      <c r="C193" s="45" t="s">
        <v>1131</v>
      </c>
      <c r="D193" s="5" t="s">
        <v>901</v>
      </c>
      <c r="E193" s="43" t="n">
        <v>198942</v>
      </c>
      <c r="F193" s="44" t="n">
        <f aca="false">IF(D193="Receipt",E193,-E193)</f>
        <v>198942</v>
      </c>
      <c r="G193" s="5" t="s">
        <v>701</v>
      </c>
      <c r="H193" s="29" t="n">
        <f aca="false">IFERROR(INDEX(Bank_Statement!$F$6:$F$303,MATCH(G193,Bank_Statement!$C$6:$C$303,0)),"Not in bank")</f>
        <v>198942</v>
      </c>
      <c r="I193" s="44" t="n">
        <f aca="false">IF(ISNUMBER(H193),H193-F193,"")</f>
        <v>0</v>
      </c>
      <c r="J193" s="27" t="str">
        <f aca="false">IF(NOT(ISNUMBER(H193)),"Not in bank",IF(ABS(I193)&lt;=Setup!$B$9,"Matched","Amount difference"))</f>
        <v>Matched</v>
      </c>
    </row>
    <row r="194" customFormat="false" ht="15" hidden="false" customHeight="false" outlineLevel="0" collapsed="false">
      <c r="A194" s="41" t="n">
        <v>46235</v>
      </c>
      <c r="B194" s="5" t="s">
        <v>1132</v>
      </c>
      <c r="C194" s="45" t="s">
        <v>1133</v>
      </c>
      <c r="D194" s="5" t="s">
        <v>892</v>
      </c>
      <c r="E194" s="43" t="n">
        <v>350000</v>
      </c>
      <c r="F194" s="44" t="n">
        <f aca="false">IF(D194="Receipt",E194,-E194)</f>
        <v>-350000</v>
      </c>
      <c r="G194" s="5" t="s">
        <v>1134</v>
      </c>
      <c r="H194" s="29" t="n">
        <f aca="false">IFERROR(INDEX(Bank_Statement!$F$6:$F$303,MATCH(G194,Bank_Statement!$C$6:$C$303,0)),"Not in bank")</f>
        <v>-350000</v>
      </c>
      <c r="I194" s="44" t="n">
        <f aca="false">IF(ISNUMBER(H194),H194-F194,"")</f>
        <v>0</v>
      </c>
      <c r="J194" s="27" t="str">
        <f aca="false">IF(NOT(ISNUMBER(H194)),"Not in bank",IF(ABS(I194)&lt;=Setup!$B$9,"Matched","Amount difference"))</f>
        <v>Matched</v>
      </c>
    </row>
    <row r="195" customFormat="false" ht="15" hidden="false" customHeight="false" outlineLevel="0" collapsed="false">
      <c r="A195" s="41" t="n">
        <v>46236</v>
      </c>
      <c r="B195" s="5" t="s">
        <v>702</v>
      </c>
      <c r="C195" s="45" t="s">
        <v>1135</v>
      </c>
      <c r="D195" s="5" t="s">
        <v>901</v>
      </c>
      <c r="E195" s="43" t="n">
        <v>179046</v>
      </c>
      <c r="F195" s="44" t="n">
        <f aca="false">IF(D195="Receipt",E195,-E195)</f>
        <v>179046</v>
      </c>
      <c r="G195" s="5" t="s">
        <v>703</v>
      </c>
      <c r="H195" s="29" t="n">
        <f aca="false">IFERROR(INDEX(Bank_Statement!$F$6:$F$303,MATCH(G195,Bank_Statement!$C$6:$C$303,0)),"Not in bank")</f>
        <v>179046</v>
      </c>
      <c r="I195" s="44" t="n">
        <f aca="false">IF(ISNUMBER(H195),H195-F195,"")</f>
        <v>0</v>
      </c>
      <c r="J195" s="27" t="str">
        <f aca="false">IF(NOT(ISNUMBER(H195)),"Not in bank",IF(ABS(I195)&lt;=Setup!$B$9,"Matched","Amount difference"))</f>
        <v>Matched</v>
      </c>
    </row>
    <row r="196" customFormat="false" ht="15" hidden="false" customHeight="false" outlineLevel="0" collapsed="false">
      <c r="A196" s="41" t="n">
        <v>46236</v>
      </c>
      <c r="B196" s="5" t="s">
        <v>704</v>
      </c>
      <c r="C196" s="45" t="s">
        <v>1136</v>
      </c>
      <c r="D196" s="5" t="s">
        <v>901</v>
      </c>
      <c r="E196" s="43" t="n">
        <v>234078</v>
      </c>
      <c r="F196" s="44" t="n">
        <f aca="false">IF(D196="Receipt",E196,-E196)</f>
        <v>234078</v>
      </c>
      <c r="G196" s="5" t="s">
        <v>705</v>
      </c>
      <c r="H196" s="29" t="n">
        <f aca="false">IFERROR(INDEX(Bank_Statement!$F$6:$F$303,MATCH(G196,Bank_Statement!$C$6:$C$303,0)),"Not in bank")</f>
        <v>234078</v>
      </c>
      <c r="I196" s="44" t="n">
        <f aca="false">IF(ISNUMBER(H196),H196-F196,"")</f>
        <v>0</v>
      </c>
      <c r="J196" s="27" t="str">
        <f aca="false">IF(NOT(ISNUMBER(H196)),"Not in bank",IF(ABS(I196)&lt;=Setup!$B$9,"Matched","Amount difference"))</f>
        <v>Matched</v>
      </c>
    </row>
    <row r="197" customFormat="false" ht="15" hidden="false" customHeight="false" outlineLevel="0" collapsed="false">
      <c r="A197" s="41" t="n">
        <v>46237</v>
      </c>
      <c r="B197" s="5" t="s">
        <v>706</v>
      </c>
      <c r="C197" s="45" t="s">
        <v>1137</v>
      </c>
      <c r="D197" s="5" t="s">
        <v>901</v>
      </c>
      <c r="E197" s="43" t="n">
        <v>293449</v>
      </c>
      <c r="F197" s="44" t="n">
        <f aca="false">IF(D197="Receipt",E197,-E197)</f>
        <v>293449</v>
      </c>
      <c r="G197" s="5" t="s">
        <v>707</v>
      </c>
      <c r="H197" s="29" t="n">
        <f aca="false">IFERROR(INDEX(Bank_Statement!$F$6:$F$303,MATCH(G197,Bank_Statement!$C$6:$C$303,0)),"Not in bank")</f>
        <v>293449</v>
      </c>
      <c r="I197" s="44" t="n">
        <f aca="false">IF(ISNUMBER(H197),H197-F197,"")</f>
        <v>0</v>
      </c>
      <c r="J197" s="27" t="str">
        <f aca="false">IF(NOT(ISNUMBER(H197)),"Not in bank",IF(ABS(I197)&lt;=Setup!$B$9,"Matched","Amount difference"))</f>
        <v>Matched</v>
      </c>
    </row>
    <row r="198" customFormat="false" ht="15" hidden="false" customHeight="false" outlineLevel="0" collapsed="false">
      <c r="A198" s="41" t="n">
        <v>46238</v>
      </c>
      <c r="B198" s="5" t="s">
        <v>708</v>
      </c>
      <c r="C198" s="45" t="s">
        <v>1138</v>
      </c>
      <c r="D198" s="5" t="s">
        <v>901</v>
      </c>
      <c r="E198" s="43" t="n">
        <v>110566</v>
      </c>
      <c r="F198" s="44" t="n">
        <f aca="false">IF(D198="Receipt",E198,-E198)</f>
        <v>110566</v>
      </c>
      <c r="G198" s="5" t="s">
        <v>709</v>
      </c>
      <c r="H198" s="29" t="n">
        <f aca="false">IFERROR(INDEX(Bank_Statement!$F$6:$F$303,MATCH(G198,Bank_Statement!$C$6:$C$303,0)),"Not in bank")</f>
        <v>110566</v>
      </c>
      <c r="I198" s="44" t="n">
        <f aca="false">IF(ISNUMBER(H198),H198-F198,"")</f>
        <v>0</v>
      </c>
      <c r="J198" s="27" t="str">
        <f aca="false">IF(NOT(ISNUMBER(H198)),"Not in bank",IF(ABS(I198)&lt;=Setup!$B$9,"Matched","Amount difference"))</f>
        <v>Matched</v>
      </c>
    </row>
    <row r="199" customFormat="false" ht="15" hidden="false" customHeight="false" outlineLevel="0" collapsed="false">
      <c r="A199" s="41" t="n">
        <v>46238</v>
      </c>
      <c r="B199" s="5" t="s">
        <v>710</v>
      </c>
      <c r="C199" s="45" t="s">
        <v>1139</v>
      </c>
      <c r="D199" s="5" t="s">
        <v>901</v>
      </c>
      <c r="E199" s="43" t="n">
        <v>145531</v>
      </c>
      <c r="F199" s="44" t="n">
        <f aca="false">IF(D199="Receipt",E199,-E199)</f>
        <v>145531</v>
      </c>
      <c r="G199" s="5" t="s">
        <v>711</v>
      </c>
      <c r="H199" s="29" t="n">
        <f aca="false">IFERROR(INDEX(Bank_Statement!$F$6:$F$303,MATCH(G199,Bank_Statement!$C$6:$C$303,0)),"Not in bank")</f>
        <v>145531</v>
      </c>
      <c r="I199" s="44" t="n">
        <f aca="false">IF(ISNUMBER(H199),H199-F199,"")</f>
        <v>0</v>
      </c>
      <c r="J199" s="27" t="str">
        <f aca="false">IF(NOT(ISNUMBER(H199)),"Not in bank",IF(ABS(I199)&lt;=Setup!$B$9,"Matched","Amount difference"))</f>
        <v>Matched</v>
      </c>
    </row>
    <row r="200" customFormat="false" ht="15" hidden="false" customHeight="false" outlineLevel="0" collapsed="false">
      <c r="A200" s="41" t="n">
        <v>46238</v>
      </c>
      <c r="B200" s="5" t="s">
        <v>712</v>
      </c>
      <c r="C200" s="45" t="s">
        <v>1140</v>
      </c>
      <c r="D200" s="5" t="s">
        <v>901</v>
      </c>
      <c r="E200" s="43" t="n">
        <v>355859</v>
      </c>
      <c r="F200" s="44" t="n">
        <f aca="false">IF(D200="Receipt",E200,-E200)</f>
        <v>355859</v>
      </c>
      <c r="G200" s="5" t="s">
        <v>713</v>
      </c>
      <c r="H200" s="29" t="n">
        <f aca="false">IFERROR(INDEX(Bank_Statement!$F$6:$F$303,MATCH(G200,Bank_Statement!$C$6:$C$303,0)),"Not in bank")</f>
        <v>355859</v>
      </c>
      <c r="I200" s="44" t="n">
        <f aca="false">IF(ISNUMBER(H200),H200-F200,"")</f>
        <v>0</v>
      </c>
      <c r="J200" s="27" t="str">
        <f aca="false">IF(NOT(ISNUMBER(H200)),"Not in bank",IF(ABS(I200)&lt;=Setup!$B$9,"Matched","Amount difference"))</f>
        <v>Matched</v>
      </c>
    </row>
    <row r="201" customFormat="false" ht="15" hidden="false" customHeight="false" outlineLevel="0" collapsed="false">
      <c r="A201" s="41" t="n">
        <v>46239</v>
      </c>
      <c r="B201" s="5" t="s">
        <v>714</v>
      </c>
      <c r="C201" s="45" t="s">
        <v>1141</v>
      </c>
      <c r="D201" s="5" t="s">
        <v>901</v>
      </c>
      <c r="E201" s="43" t="n">
        <v>257455</v>
      </c>
      <c r="F201" s="44" t="n">
        <f aca="false">IF(D201="Receipt",E201,-E201)</f>
        <v>257455</v>
      </c>
      <c r="G201" s="5" t="s">
        <v>715</v>
      </c>
      <c r="H201" s="29" t="n">
        <f aca="false">IFERROR(INDEX(Bank_Statement!$F$6:$F$303,MATCH(G201,Bank_Statement!$C$6:$C$303,0)),"Not in bank")</f>
        <v>257455</v>
      </c>
      <c r="I201" s="44" t="n">
        <f aca="false">IF(ISNUMBER(H201),H201-F201,"")</f>
        <v>0</v>
      </c>
      <c r="J201" s="27" t="str">
        <f aca="false">IF(NOT(ISNUMBER(H201)),"Not in bank",IF(ABS(I201)&lt;=Setup!$B$9,"Matched","Amount difference"))</f>
        <v>Matched</v>
      </c>
    </row>
    <row r="202" customFormat="false" ht="15" hidden="false" customHeight="false" outlineLevel="0" collapsed="false">
      <c r="A202" s="41" t="n">
        <v>46239</v>
      </c>
      <c r="B202" s="5" t="s">
        <v>1142</v>
      </c>
      <c r="C202" s="45" t="s">
        <v>898</v>
      </c>
      <c r="D202" s="5" t="s">
        <v>892</v>
      </c>
      <c r="E202" s="43" t="n">
        <v>95000</v>
      </c>
      <c r="F202" s="44" t="n">
        <f aca="false">IF(D202="Receipt",E202,-E202)</f>
        <v>-95000</v>
      </c>
      <c r="G202" s="5" t="s">
        <v>1143</v>
      </c>
      <c r="H202" s="29" t="n">
        <f aca="false">IFERROR(INDEX(Bank_Statement!$F$6:$F$303,MATCH(G202,Bank_Statement!$C$6:$C$303,0)),"Not in bank")</f>
        <v>-95000</v>
      </c>
      <c r="I202" s="44" t="n">
        <f aca="false">IF(ISNUMBER(H202),H202-F202,"")</f>
        <v>0</v>
      </c>
      <c r="J202" s="27" t="str">
        <f aca="false">IF(NOT(ISNUMBER(H202)),"Not in bank",IF(ABS(I202)&lt;=Setup!$B$9,"Matched","Amount difference"))</f>
        <v>Matched</v>
      </c>
    </row>
    <row r="203" customFormat="false" ht="15" hidden="false" customHeight="false" outlineLevel="0" collapsed="false">
      <c r="A203" s="41" t="n">
        <v>46240</v>
      </c>
      <c r="B203" s="5" t="s">
        <v>716</v>
      </c>
      <c r="C203" s="45" t="s">
        <v>1144</v>
      </c>
      <c r="D203" s="5" t="s">
        <v>901</v>
      </c>
      <c r="E203" s="43" t="n">
        <v>217639</v>
      </c>
      <c r="F203" s="44" t="n">
        <f aca="false">IF(D203="Receipt",E203,-E203)</f>
        <v>217639</v>
      </c>
      <c r="G203" s="5" t="s">
        <v>717</v>
      </c>
      <c r="H203" s="29" t="n">
        <f aca="false">IFERROR(INDEX(Bank_Statement!$F$6:$F$303,MATCH(G203,Bank_Statement!$C$6:$C$303,0)),"Not in bank")</f>
        <v>217639</v>
      </c>
      <c r="I203" s="44" t="n">
        <f aca="false">IF(ISNUMBER(H203),H203-F203,"")</f>
        <v>0</v>
      </c>
      <c r="J203" s="27" t="str">
        <f aca="false">IF(NOT(ISNUMBER(H203)),"Not in bank",IF(ABS(I203)&lt;=Setup!$B$9,"Matched","Amount difference"))</f>
        <v>Matched</v>
      </c>
    </row>
    <row r="204" customFormat="false" ht="15" hidden="false" customHeight="false" outlineLevel="0" collapsed="false">
      <c r="A204" s="41" t="n">
        <v>46240</v>
      </c>
      <c r="B204" s="5" t="s">
        <v>718</v>
      </c>
      <c r="C204" s="45" t="s">
        <v>1145</v>
      </c>
      <c r="D204" s="5" t="s">
        <v>901</v>
      </c>
      <c r="E204" s="43" t="n">
        <v>429166</v>
      </c>
      <c r="F204" s="44" t="n">
        <f aca="false">IF(D204="Receipt",E204,-E204)</f>
        <v>429166</v>
      </c>
      <c r="G204" s="5" t="s">
        <v>719</v>
      </c>
      <c r="H204" s="29" t="n">
        <f aca="false">IFERROR(INDEX(Bank_Statement!$F$6:$F$303,MATCH(G204,Bank_Statement!$C$6:$C$303,0)),"Not in bank")</f>
        <v>429166</v>
      </c>
      <c r="I204" s="44" t="n">
        <f aca="false">IF(ISNUMBER(H204),H204-F204,"")</f>
        <v>0</v>
      </c>
      <c r="J204" s="27" t="str">
        <f aca="false">IF(NOT(ISNUMBER(H204)),"Not in bank",IF(ABS(I204)&lt;=Setup!$B$9,"Matched","Amount difference"))</f>
        <v>Matched</v>
      </c>
    </row>
    <row r="205" customFormat="false" ht="15" hidden="false" customHeight="false" outlineLevel="0" collapsed="false">
      <c r="A205" s="41" t="n">
        <v>46240</v>
      </c>
      <c r="B205" s="5" t="s">
        <v>1146</v>
      </c>
      <c r="C205" s="45" t="s">
        <v>944</v>
      </c>
      <c r="D205" s="5" t="s">
        <v>892</v>
      </c>
      <c r="E205" s="43" t="n">
        <v>125953</v>
      </c>
      <c r="F205" s="44" t="n">
        <f aca="false">IF(D205="Receipt",E205,-E205)</f>
        <v>-125953</v>
      </c>
      <c r="G205" s="5" t="s">
        <v>1147</v>
      </c>
      <c r="H205" s="29" t="n">
        <f aca="false">IFERROR(INDEX(Bank_Statement!$F$6:$F$303,MATCH(G205,Bank_Statement!$C$6:$C$303,0)),"Not in bank")</f>
        <v>-125953</v>
      </c>
      <c r="I205" s="44" t="n">
        <f aca="false">IF(ISNUMBER(H205),H205-F205,"")</f>
        <v>0</v>
      </c>
      <c r="J205" s="27" t="str">
        <f aca="false">IF(NOT(ISNUMBER(H205)),"Not in bank",IF(ABS(I205)&lt;=Setup!$B$9,"Matched","Amount difference"))</f>
        <v>Matched</v>
      </c>
    </row>
    <row r="206" customFormat="false" ht="15" hidden="false" customHeight="false" outlineLevel="0" collapsed="false">
      <c r="A206" s="41" t="n">
        <v>46241</v>
      </c>
      <c r="B206" s="5" t="s">
        <v>720</v>
      </c>
      <c r="C206" s="45" t="s">
        <v>1148</v>
      </c>
      <c r="D206" s="5" t="s">
        <v>901</v>
      </c>
      <c r="E206" s="43" t="n">
        <v>270299</v>
      </c>
      <c r="F206" s="44" t="n">
        <f aca="false">IF(D206="Receipt",E206,-E206)</f>
        <v>270299</v>
      </c>
      <c r="G206" s="5" t="s">
        <v>721</v>
      </c>
      <c r="H206" s="29" t="n">
        <f aca="false">IFERROR(INDEX(Bank_Statement!$F$6:$F$303,MATCH(G206,Bank_Statement!$C$6:$C$303,0)),"Not in bank")</f>
        <v>270299</v>
      </c>
      <c r="I206" s="44" t="n">
        <f aca="false">IF(ISNUMBER(H206),H206-F206,"")</f>
        <v>0</v>
      </c>
      <c r="J206" s="27" t="str">
        <f aca="false">IF(NOT(ISNUMBER(H206)),"Not in bank",IF(ABS(I206)&lt;=Setup!$B$9,"Matched","Amount difference"))</f>
        <v>Matched</v>
      </c>
    </row>
    <row r="207" customFormat="false" ht="15" hidden="false" customHeight="false" outlineLevel="0" collapsed="false">
      <c r="A207" s="41" t="n">
        <v>46242</v>
      </c>
      <c r="B207" s="5" t="s">
        <v>722</v>
      </c>
      <c r="C207" s="45" t="s">
        <v>1149</v>
      </c>
      <c r="D207" s="5" t="s">
        <v>901</v>
      </c>
      <c r="E207" s="43" t="n">
        <v>417652</v>
      </c>
      <c r="F207" s="44" t="n">
        <f aca="false">IF(D207="Receipt",E207,-E207)</f>
        <v>417652</v>
      </c>
      <c r="G207" s="5" t="s">
        <v>723</v>
      </c>
      <c r="H207" s="29" t="n">
        <f aca="false">IFERROR(INDEX(Bank_Statement!$F$6:$F$303,MATCH(G207,Bank_Statement!$C$6:$C$303,0)),"Not in bank")</f>
        <v>417652</v>
      </c>
      <c r="I207" s="44" t="n">
        <f aca="false">IF(ISNUMBER(H207),H207-F207,"")</f>
        <v>0</v>
      </c>
      <c r="J207" s="27" t="str">
        <f aca="false">IF(NOT(ISNUMBER(H207)),"Not in bank",IF(ABS(I207)&lt;=Setup!$B$9,"Matched","Amount difference"))</f>
        <v>Matched</v>
      </c>
    </row>
    <row r="208" customFormat="false" ht="15" hidden="false" customHeight="false" outlineLevel="0" collapsed="false">
      <c r="A208" s="41" t="n">
        <v>46242</v>
      </c>
      <c r="B208" s="5" t="s">
        <v>1150</v>
      </c>
      <c r="C208" s="45" t="s">
        <v>1151</v>
      </c>
      <c r="D208" s="5" t="s">
        <v>892</v>
      </c>
      <c r="E208" s="43" t="n">
        <v>63420</v>
      </c>
      <c r="F208" s="44" t="n">
        <f aca="false">IF(D208="Receipt",E208,-E208)</f>
        <v>-63420</v>
      </c>
      <c r="G208" s="5" t="s">
        <v>1152</v>
      </c>
      <c r="H208" s="29" t="n">
        <f aca="false">IFERROR(INDEX(Bank_Statement!$F$6:$F$303,MATCH(G208,Bank_Statement!$C$6:$C$303,0)),"Not in bank")</f>
        <v>-63420</v>
      </c>
      <c r="I208" s="44" t="n">
        <f aca="false">IF(ISNUMBER(H208),H208-F208,"")</f>
        <v>0</v>
      </c>
      <c r="J208" s="27" t="str">
        <f aca="false">IF(NOT(ISNUMBER(H208)),"Not in bank",IF(ABS(I208)&lt;=Setup!$B$9,"Matched","Amount difference"))</f>
        <v>Matched</v>
      </c>
    </row>
    <row r="209" customFormat="false" ht="15" hidden="false" customHeight="false" outlineLevel="0" collapsed="false">
      <c r="A209" s="41" t="n">
        <v>46243</v>
      </c>
      <c r="B209" s="5" t="s">
        <v>1153</v>
      </c>
      <c r="C209" s="45" t="s">
        <v>998</v>
      </c>
      <c r="D209" s="5" t="s">
        <v>892</v>
      </c>
      <c r="E209" s="43" t="n">
        <v>113879</v>
      </c>
      <c r="F209" s="44" t="n">
        <f aca="false">IF(D209="Receipt",E209,-E209)</f>
        <v>-113879</v>
      </c>
      <c r="G209" s="5" t="s">
        <v>1154</v>
      </c>
      <c r="H209" s="29" t="n">
        <f aca="false">IFERROR(INDEX(Bank_Statement!$F$6:$F$303,MATCH(G209,Bank_Statement!$C$6:$C$303,0)),"Not in bank")</f>
        <v>-113879</v>
      </c>
      <c r="I209" s="44" t="n">
        <f aca="false">IF(ISNUMBER(H209),H209-F209,"")</f>
        <v>0</v>
      </c>
      <c r="J209" s="27" t="str">
        <f aca="false">IF(NOT(ISNUMBER(H209)),"Not in bank",IF(ABS(I209)&lt;=Setup!$B$9,"Matched","Amount difference"))</f>
        <v>Matched</v>
      </c>
    </row>
    <row r="210" customFormat="false" ht="15" hidden="false" customHeight="false" outlineLevel="0" collapsed="false">
      <c r="A210" s="41" t="n">
        <v>46244</v>
      </c>
      <c r="B210" s="5" t="s">
        <v>724</v>
      </c>
      <c r="C210" s="45" t="s">
        <v>1123</v>
      </c>
      <c r="D210" s="5" t="s">
        <v>901</v>
      </c>
      <c r="E210" s="43" t="n">
        <v>103887</v>
      </c>
      <c r="F210" s="44" t="n">
        <f aca="false">IF(D210="Receipt",E210,-E210)</f>
        <v>103887</v>
      </c>
      <c r="G210" s="5" t="s">
        <v>725</v>
      </c>
      <c r="H210" s="29" t="n">
        <f aca="false">IFERROR(INDEX(Bank_Statement!$F$6:$F$303,MATCH(G210,Bank_Statement!$C$6:$C$303,0)),"Not in bank")</f>
        <v>103887</v>
      </c>
      <c r="I210" s="44" t="n">
        <f aca="false">IF(ISNUMBER(H210),H210-F210,"")</f>
        <v>0</v>
      </c>
      <c r="J210" s="27" t="str">
        <f aca="false">IF(NOT(ISNUMBER(H210)),"Not in bank",IF(ABS(I210)&lt;=Setup!$B$9,"Matched","Amount difference"))</f>
        <v>Matched</v>
      </c>
    </row>
    <row r="211" customFormat="false" ht="15" hidden="false" customHeight="false" outlineLevel="0" collapsed="false">
      <c r="A211" s="41" t="n">
        <v>46244</v>
      </c>
      <c r="B211" s="5" t="s">
        <v>726</v>
      </c>
      <c r="C211" s="45" t="s">
        <v>1155</v>
      </c>
      <c r="D211" s="5" t="s">
        <v>901</v>
      </c>
      <c r="E211" s="43" t="n">
        <v>390829</v>
      </c>
      <c r="F211" s="44" t="n">
        <f aca="false">IF(D211="Receipt",E211,-E211)</f>
        <v>390829</v>
      </c>
      <c r="G211" s="5" t="s">
        <v>727</v>
      </c>
      <c r="H211" s="29" t="n">
        <f aca="false">IFERROR(INDEX(Bank_Statement!$F$6:$F$303,MATCH(G211,Bank_Statement!$C$6:$C$303,0)),"Not in bank")</f>
        <v>390829</v>
      </c>
      <c r="I211" s="44" t="n">
        <f aca="false">IF(ISNUMBER(H211),H211-F211,"")</f>
        <v>0</v>
      </c>
      <c r="J211" s="27" t="str">
        <f aca="false">IF(NOT(ISNUMBER(H211)),"Not in bank",IF(ABS(I211)&lt;=Setup!$B$9,"Matched","Amount difference"))</f>
        <v>Matched</v>
      </c>
    </row>
    <row r="212" customFormat="false" ht="15" hidden="false" customHeight="false" outlineLevel="0" collapsed="false">
      <c r="A212" s="41" t="n">
        <v>46244</v>
      </c>
      <c r="B212" s="5" t="s">
        <v>728</v>
      </c>
      <c r="C212" s="45" t="s">
        <v>1156</v>
      </c>
      <c r="D212" s="5" t="s">
        <v>901</v>
      </c>
      <c r="E212" s="43" t="n">
        <v>340421</v>
      </c>
      <c r="F212" s="44" t="n">
        <f aca="false">IF(D212="Receipt",E212,-E212)</f>
        <v>340421</v>
      </c>
      <c r="G212" s="5" t="s">
        <v>729</v>
      </c>
      <c r="H212" s="29" t="n">
        <f aca="false">IFERROR(INDEX(Bank_Statement!$F$6:$F$303,MATCH(G212,Bank_Statement!$C$6:$C$303,0)),"Not in bank")</f>
        <v>340421</v>
      </c>
      <c r="I212" s="44" t="n">
        <f aca="false">IF(ISNUMBER(H212),H212-F212,"")</f>
        <v>0</v>
      </c>
      <c r="J212" s="27" t="str">
        <f aca="false">IF(NOT(ISNUMBER(H212)),"Not in bank",IF(ABS(I212)&lt;=Setup!$B$9,"Matched","Amount difference"))</f>
        <v>Matched</v>
      </c>
    </row>
    <row r="213" customFormat="false" ht="15" hidden="false" customHeight="false" outlineLevel="0" collapsed="false">
      <c r="A213" s="41" t="n">
        <v>46244</v>
      </c>
      <c r="B213" s="5" t="s">
        <v>1157</v>
      </c>
      <c r="C213" s="45" t="s">
        <v>907</v>
      </c>
      <c r="D213" s="5" t="s">
        <v>892</v>
      </c>
      <c r="E213" s="43" t="n">
        <v>4820000</v>
      </c>
      <c r="F213" s="44" t="n">
        <f aca="false">IF(D213="Receipt",E213,-E213)</f>
        <v>-4820000</v>
      </c>
      <c r="G213" s="5" t="s">
        <v>1158</v>
      </c>
      <c r="H213" s="29" t="n">
        <f aca="false">IFERROR(INDEX(Bank_Statement!$F$6:$F$303,MATCH(G213,Bank_Statement!$C$6:$C$303,0)),"Not in bank")</f>
        <v>-4820000</v>
      </c>
      <c r="I213" s="44" t="n">
        <f aca="false">IF(ISNUMBER(H213),H213-F213,"")</f>
        <v>0</v>
      </c>
      <c r="J213" s="27" t="str">
        <f aca="false">IF(NOT(ISNUMBER(H213)),"Not in bank",IF(ABS(I213)&lt;=Setup!$B$9,"Matched","Amount difference"))</f>
        <v>Matched</v>
      </c>
    </row>
    <row r="214" customFormat="false" ht="15" hidden="false" customHeight="false" outlineLevel="0" collapsed="false">
      <c r="A214" s="41" t="n">
        <v>46246</v>
      </c>
      <c r="B214" s="5" t="s">
        <v>730</v>
      </c>
      <c r="C214" s="45" t="s">
        <v>1159</v>
      </c>
      <c r="D214" s="5" t="s">
        <v>901</v>
      </c>
      <c r="E214" s="43" t="n">
        <v>197046</v>
      </c>
      <c r="F214" s="44" t="n">
        <f aca="false">IF(D214="Receipt",E214,-E214)</f>
        <v>197046</v>
      </c>
      <c r="G214" s="5" t="s">
        <v>731</v>
      </c>
      <c r="H214" s="29" t="n">
        <f aca="false">IFERROR(INDEX(Bank_Statement!$F$6:$F$303,MATCH(G214,Bank_Statement!$C$6:$C$303,0)),"Not in bank")</f>
        <v>197046</v>
      </c>
      <c r="I214" s="44" t="n">
        <f aca="false">IF(ISNUMBER(H214),H214-F214,"")</f>
        <v>0</v>
      </c>
      <c r="J214" s="27" t="str">
        <f aca="false">IF(NOT(ISNUMBER(H214)),"Not in bank",IF(ABS(I214)&lt;=Setup!$B$9,"Matched","Amount difference"))</f>
        <v>Matched</v>
      </c>
    </row>
    <row r="215" customFormat="false" ht="15" hidden="false" customHeight="false" outlineLevel="0" collapsed="false">
      <c r="A215" s="41" t="n">
        <v>46246</v>
      </c>
      <c r="B215" s="5" t="s">
        <v>732</v>
      </c>
      <c r="C215" s="45" t="s">
        <v>1160</v>
      </c>
      <c r="D215" s="5" t="s">
        <v>901</v>
      </c>
      <c r="E215" s="43" t="n">
        <v>207871</v>
      </c>
      <c r="F215" s="44" t="n">
        <f aca="false">IF(D215="Receipt",E215,-E215)</f>
        <v>207871</v>
      </c>
      <c r="G215" s="5" t="s">
        <v>733</v>
      </c>
      <c r="H215" s="29" t="n">
        <f aca="false">IFERROR(INDEX(Bank_Statement!$F$6:$F$303,MATCH(G215,Bank_Statement!$C$6:$C$303,0)),"Not in bank")</f>
        <v>207871</v>
      </c>
      <c r="I215" s="44" t="n">
        <f aca="false">IF(ISNUMBER(H215),H215-F215,"")</f>
        <v>0</v>
      </c>
      <c r="J215" s="27" t="str">
        <f aca="false">IF(NOT(ISNUMBER(H215)),"Not in bank",IF(ABS(I215)&lt;=Setup!$B$9,"Matched","Amount difference"))</f>
        <v>Matched</v>
      </c>
    </row>
    <row r="216" customFormat="false" ht="15" hidden="false" customHeight="false" outlineLevel="0" collapsed="false">
      <c r="A216" s="41" t="n">
        <v>46248</v>
      </c>
      <c r="B216" s="5" t="s">
        <v>734</v>
      </c>
      <c r="C216" s="45" t="s">
        <v>1110</v>
      </c>
      <c r="D216" s="5" t="s">
        <v>901</v>
      </c>
      <c r="E216" s="43" t="n">
        <v>156283</v>
      </c>
      <c r="F216" s="44" t="n">
        <f aca="false">IF(D216="Receipt",E216,-E216)</f>
        <v>156283</v>
      </c>
      <c r="G216" s="5" t="s">
        <v>735</v>
      </c>
      <c r="H216" s="29" t="n">
        <f aca="false">IFERROR(INDEX(Bank_Statement!$F$6:$F$303,MATCH(G216,Bank_Statement!$C$6:$C$303,0)),"Not in bank")</f>
        <v>156283</v>
      </c>
      <c r="I216" s="44" t="n">
        <f aca="false">IF(ISNUMBER(H216),H216-F216,"")</f>
        <v>0</v>
      </c>
      <c r="J216" s="27" t="str">
        <f aca="false">IF(NOT(ISNUMBER(H216)),"Not in bank",IF(ABS(I216)&lt;=Setup!$B$9,"Matched","Amount difference"))</f>
        <v>Matched</v>
      </c>
    </row>
    <row r="217" customFormat="false" ht="15" hidden="false" customHeight="false" outlineLevel="0" collapsed="false">
      <c r="A217" s="41" t="n">
        <v>46249</v>
      </c>
      <c r="B217" s="5" t="s">
        <v>736</v>
      </c>
      <c r="C217" s="45" t="s">
        <v>1161</v>
      </c>
      <c r="D217" s="5" t="s">
        <v>901</v>
      </c>
      <c r="E217" s="43" t="n">
        <v>212053</v>
      </c>
      <c r="F217" s="44" t="n">
        <f aca="false">IF(D217="Receipt",E217,-E217)</f>
        <v>212053</v>
      </c>
      <c r="G217" s="5" t="s">
        <v>737</v>
      </c>
      <c r="H217" s="29" t="n">
        <f aca="false">IFERROR(INDEX(Bank_Statement!$F$6:$F$303,MATCH(G217,Bank_Statement!$C$6:$C$303,0)),"Not in bank")</f>
        <v>212053</v>
      </c>
      <c r="I217" s="44" t="n">
        <f aca="false">IF(ISNUMBER(H217),H217-F217,"")</f>
        <v>0</v>
      </c>
      <c r="J217" s="27" t="str">
        <f aca="false">IF(NOT(ISNUMBER(H217)),"Not in bank",IF(ABS(I217)&lt;=Setup!$B$9,"Matched","Amount difference"))</f>
        <v>Matched</v>
      </c>
    </row>
    <row r="218" customFormat="false" ht="15" hidden="false" customHeight="false" outlineLevel="0" collapsed="false">
      <c r="A218" s="41" t="n">
        <v>46249</v>
      </c>
      <c r="B218" s="5" t="s">
        <v>738</v>
      </c>
      <c r="C218" s="45" t="s">
        <v>1162</v>
      </c>
      <c r="D218" s="5" t="s">
        <v>901</v>
      </c>
      <c r="E218" s="43" t="n">
        <v>313048</v>
      </c>
      <c r="F218" s="44" t="n">
        <f aca="false">IF(D218="Receipt",E218,-E218)</f>
        <v>313048</v>
      </c>
      <c r="G218" s="5" t="s">
        <v>739</v>
      </c>
      <c r="H218" s="29" t="n">
        <f aca="false">IFERROR(INDEX(Bank_Statement!$F$6:$F$303,MATCH(G218,Bank_Statement!$C$6:$C$303,0)),"Not in bank")</f>
        <v>313048</v>
      </c>
      <c r="I218" s="44" t="n">
        <f aca="false">IF(ISNUMBER(H218),H218-F218,"")</f>
        <v>0</v>
      </c>
      <c r="J218" s="27" t="str">
        <f aca="false">IF(NOT(ISNUMBER(H218)),"Not in bank",IF(ABS(I218)&lt;=Setup!$B$9,"Matched","Amount difference"))</f>
        <v>Matched</v>
      </c>
    </row>
    <row r="219" customFormat="false" ht="15" hidden="false" customHeight="false" outlineLevel="0" collapsed="false">
      <c r="A219" s="41" t="n">
        <v>46249</v>
      </c>
      <c r="B219" s="5" t="s">
        <v>740</v>
      </c>
      <c r="C219" s="45" t="s">
        <v>1163</v>
      </c>
      <c r="D219" s="5" t="s">
        <v>901</v>
      </c>
      <c r="E219" s="43" t="n">
        <v>57935</v>
      </c>
      <c r="F219" s="44" t="n">
        <f aca="false">IF(D219="Receipt",E219,-E219)</f>
        <v>57935</v>
      </c>
      <c r="G219" s="5" t="s">
        <v>741</v>
      </c>
      <c r="H219" s="29" t="n">
        <f aca="false">IFERROR(INDEX(Bank_Statement!$F$6:$F$303,MATCH(G219,Bank_Statement!$C$6:$C$303,0)),"Not in bank")</f>
        <v>57935</v>
      </c>
      <c r="I219" s="44" t="n">
        <f aca="false">IF(ISNUMBER(H219),H219-F219,"")</f>
        <v>0</v>
      </c>
      <c r="J219" s="27" t="str">
        <f aca="false">IF(NOT(ISNUMBER(H219)),"Not in bank",IF(ABS(I219)&lt;=Setup!$B$9,"Matched","Amount difference"))</f>
        <v>Matched</v>
      </c>
    </row>
    <row r="220" customFormat="false" ht="15" hidden="false" customHeight="false" outlineLevel="0" collapsed="false">
      <c r="A220" s="41" t="n">
        <v>46250</v>
      </c>
      <c r="B220" s="5" t="s">
        <v>742</v>
      </c>
      <c r="C220" s="45" t="s">
        <v>1164</v>
      </c>
      <c r="D220" s="5" t="s">
        <v>901</v>
      </c>
      <c r="E220" s="43" t="n">
        <v>261571</v>
      </c>
      <c r="F220" s="44" t="n">
        <f aca="false">IF(D220="Receipt",E220,-E220)</f>
        <v>261571</v>
      </c>
      <c r="G220" s="5" t="s">
        <v>743</v>
      </c>
      <c r="H220" s="29" t="n">
        <f aca="false">IFERROR(INDEX(Bank_Statement!$F$6:$F$303,MATCH(G220,Bank_Statement!$C$6:$C$303,0)),"Not in bank")</f>
        <v>261571</v>
      </c>
      <c r="I220" s="44" t="n">
        <f aca="false">IF(ISNUMBER(H220),H220-F220,"")</f>
        <v>0</v>
      </c>
      <c r="J220" s="27" t="str">
        <f aca="false">IF(NOT(ISNUMBER(H220)),"Not in bank",IF(ABS(I220)&lt;=Setup!$B$9,"Matched","Amount difference"))</f>
        <v>Matched</v>
      </c>
    </row>
    <row r="221" customFormat="false" ht="15" hidden="false" customHeight="false" outlineLevel="0" collapsed="false">
      <c r="A221" s="41" t="n">
        <v>46250</v>
      </c>
      <c r="B221" s="5" t="s">
        <v>744</v>
      </c>
      <c r="C221" s="45" t="s">
        <v>1165</v>
      </c>
      <c r="D221" s="5" t="s">
        <v>901</v>
      </c>
      <c r="E221" s="43" t="n">
        <v>267121</v>
      </c>
      <c r="F221" s="44" t="n">
        <f aca="false">IF(D221="Receipt",E221,-E221)</f>
        <v>267121</v>
      </c>
      <c r="G221" s="5" t="s">
        <v>745</v>
      </c>
      <c r="H221" s="29" t="n">
        <f aca="false">IFERROR(INDEX(Bank_Statement!$F$6:$F$303,MATCH(G221,Bank_Statement!$C$6:$C$303,0)),"Not in bank")</f>
        <v>267121</v>
      </c>
      <c r="I221" s="44" t="n">
        <f aca="false">IF(ISNUMBER(H221),H221-F221,"")</f>
        <v>0</v>
      </c>
      <c r="J221" s="27" t="str">
        <f aca="false">IF(NOT(ISNUMBER(H221)),"Not in bank",IF(ABS(I221)&lt;=Setup!$B$9,"Matched","Amount difference"))</f>
        <v>Matched</v>
      </c>
    </row>
    <row r="222" customFormat="false" ht="15" hidden="false" customHeight="false" outlineLevel="0" collapsed="false">
      <c r="A222" s="41" t="n">
        <v>46252</v>
      </c>
      <c r="B222" s="5" t="s">
        <v>746</v>
      </c>
      <c r="C222" s="45" t="s">
        <v>1166</v>
      </c>
      <c r="D222" s="5" t="s">
        <v>901</v>
      </c>
      <c r="E222" s="43" t="n">
        <v>151164</v>
      </c>
      <c r="F222" s="44" t="n">
        <f aca="false">IF(D222="Receipt",E222,-E222)</f>
        <v>151164</v>
      </c>
      <c r="G222" s="5" t="s">
        <v>747</v>
      </c>
      <c r="H222" s="29" t="n">
        <f aca="false">IFERROR(INDEX(Bank_Statement!$F$6:$F$303,MATCH(G222,Bank_Statement!$C$6:$C$303,0)),"Not in bank")</f>
        <v>151164</v>
      </c>
      <c r="I222" s="44" t="n">
        <f aca="false">IF(ISNUMBER(H222),H222-F222,"")</f>
        <v>0</v>
      </c>
      <c r="J222" s="27" t="str">
        <f aca="false">IF(NOT(ISNUMBER(H222)),"Not in bank",IF(ABS(I222)&lt;=Setup!$B$9,"Matched","Amount difference"))</f>
        <v>Matched</v>
      </c>
    </row>
    <row r="223" customFormat="false" ht="15" hidden="false" customHeight="false" outlineLevel="0" collapsed="false">
      <c r="A223" s="41" t="n">
        <v>46252</v>
      </c>
      <c r="B223" s="5" t="s">
        <v>1167</v>
      </c>
      <c r="C223" s="45" t="s">
        <v>917</v>
      </c>
      <c r="D223" s="5" t="s">
        <v>892</v>
      </c>
      <c r="E223" s="43" t="n">
        <v>168077</v>
      </c>
      <c r="F223" s="44" t="n">
        <f aca="false">IF(D223="Receipt",E223,-E223)</f>
        <v>-168077</v>
      </c>
      <c r="G223" s="5" t="s">
        <v>1168</v>
      </c>
      <c r="H223" s="29" t="n">
        <f aca="false">IFERROR(INDEX(Bank_Statement!$F$6:$F$303,MATCH(G223,Bank_Statement!$C$6:$C$303,0)),"Not in bank")</f>
        <v>-168077</v>
      </c>
      <c r="I223" s="44" t="n">
        <f aca="false">IF(ISNUMBER(H223),H223-F223,"")</f>
        <v>0</v>
      </c>
      <c r="J223" s="27" t="str">
        <f aca="false">IF(NOT(ISNUMBER(H223)),"Not in bank",IF(ABS(I223)&lt;=Setup!$B$9,"Matched","Amount difference"))</f>
        <v>Matched</v>
      </c>
    </row>
    <row r="224" customFormat="false" ht="15" hidden="false" customHeight="false" outlineLevel="0" collapsed="false">
      <c r="A224" s="41" t="n">
        <v>46253</v>
      </c>
      <c r="B224" s="5" t="s">
        <v>748</v>
      </c>
      <c r="C224" s="45" t="s">
        <v>1169</v>
      </c>
      <c r="D224" s="5" t="s">
        <v>901</v>
      </c>
      <c r="E224" s="43" t="n">
        <v>262456</v>
      </c>
      <c r="F224" s="44" t="n">
        <f aca="false">IF(D224="Receipt",E224,-E224)</f>
        <v>262456</v>
      </c>
      <c r="G224" s="5" t="s">
        <v>749</v>
      </c>
      <c r="H224" s="29" t="n">
        <f aca="false">IFERROR(INDEX(Bank_Statement!$F$6:$F$303,MATCH(G224,Bank_Statement!$C$6:$C$303,0)),"Not in bank")</f>
        <v>262456</v>
      </c>
      <c r="I224" s="44" t="n">
        <f aca="false">IF(ISNUMBER(H224),H224-F224,"")</f>
        <v>0</v>
      </c>
      <c r="J224" s="27" t="str">
        <f aca="false">IF(NOT(ISNUMBER(H224)),"Not in bank",IF(ABS(I224)&lt;=Setup!$B$9,"Matched","Amount difference"))</f>
        <v>Matched</v>
      </c>
    </row>
    <row r="225" customFormat="false" ht="15" hidden="false" customHeight="false" outlineLevel="0" collapsed="false">
      <c r="A225" s="41" t="n">
        <v>46253</v>
      </c>
      <c r="B225" s="5" t="s">
        <v>750</v>
      </c>
      <c r="C225" s="45" t="s">
        <v>1170</v>
      </c>
      <c r="D225" s="5" t="s">
        <v>901</v>
      </c>
      <c r="E225" s="43" t="n">
        <v>257217</v>
      </c>
      <c r="F225" s="44" t="n">
        <f aca="false">IF(D225="Receipt",E225,-E225)</f>
        <v>257217</v>
      </c>
      <c r="G225" s="5" t="s">
        <v>751</v>
      </c>
      <c r="H225" s="29" t="n">
        <f aca="false">IFERROR(INDEX(Bank_Statement!$F$6:$F$303,MATCH(G225,Bank_Statement!$C$6:$C$303,0)),"Not in bank")</f>
        <v>257217</v>
      </c>
      <c r="I225" s="44" t="n">
        <f aca="false">IF(ISNUMBER(H225),H225-F225,"")</f>
        <v>0</v>
      </c>
      <c r="J225" s="27" t="str">
        <f aca="false">IF(NOT(ISNUMBER(H225)),"Not in bank",IF(ABS(I225)&lt;=Setup!$B$9,"Matched","Amount difference"))</f>
        <v>Matched</v>
      </c>
    </row>
    <row r="226" customFormat="false" ht="15" hidden="false" customHeight="false" outlineLevel="0" collapsed="false">
      <c r="A226" s="41" t="n">
        <v>46254</v>
      </c>
      <c r="B226" s="5" t="s">
        <v>752</v>
      </c>
      <c r="C226" s="45" t="s">
        <v>1171</v>
      </c>
      <c r="D226" s="5" t="s">
        <v>901</v>
      </c>
      <c r="E226" s="43" t="n">
        <v>223793</v>
      </c>
      <c r="F226" s="44" t="n">
        <f aca="false">IF(D226="Receipt",E226,-E226)</f>
        <v>223793</v>
      </c>
      <c r="G226" s="5" t="s">
        <v>753</v>
      </c>
      <c r="H226" s="29" t="n">
        <f aca="false">IFERROR(INDEX(Bank_Statement!$F$6:$F$303,MATCH(G226,Bank_Statement!$C$6:$C$303,0)),"Not in bank")</f>
        <v>223793</v>
      </c>
      <c r="I226" s="44" t="n">
        <f aca="false">IF(ISNUMBER(H226),H226-F226,"")</f>
        <v>0</v>
      </c>
      <c r="J226" s="27" t="str">
        <f aca="false">IF(NOT(ISNUMBER(H226)),"Not in bank",IF(ABS(I226)&lt;=Setup!$B$9,"Matched","Amount difference"))</f>
        <v>Matched</v>
      </c>
    </row>
    <row r="227" customFormat="false" ht="15" hidden="false" customHeight="false" outlineLevel="0" collapsed="false">
      <c r="A227" s="41" t="n">
        <v>46254</v>
      </c>
      <c r="B227" s="5" t="s">
        <v>1172</v>
      </c>
      <c r="C227" s="45" t="s">
        <v>924</v>
      </c>
      <c r="D227" s="5" t="s">
        <v>892</v>
      </c>
      <c r="E227" s="43" t="n">
        <v>200000</v>
      </c>
      <c r="F227" s="44" t="n">
        <f aca="false">IF(D227="Receipt",E227,-E227)</f>
        <v>-200000</v>
      </c>
      <c r="G227" s="5" t="s">
        <v>1173</v>
      </c>
      <c r="H227" s="29" t="n">
        <f aca="false">IFERROR(INDEX(Bank_Statement!$F$6:$F$303,MATCH(G227,Bank_Statement!$C$6:$C$303,0)),"Not in bank")</f>
        <v>-200000</v>
      </c>
      <c r="I227" s="44" t="n">
        <f aca="false">IF(ISNUMBER(H227),H227-F227,"")</f>
        <v>0</v>
      </c>
      <c r="J227" s="27" t="str">
        <f aca="false">IF(NOT(ISNUMBER(H227)),"Not in bank",IF(ABS(I227)&lt;=Setup!$B$9,"Matched","Amount difference"))</f>
        <v>Matched</v>
      </c>
    </row>
    <row r="228" customFormat="false" ht="15" hidden="false" customHeight="false" outlineLevel="0" collapsed="false">
      <c r="A228" s="41" t="n">
        <v>46255</v>
      </c>
      <c r="B228" s="5" t="s">
        <v>754</v>
      </c>
      <c r="C228" s="45" t="s">
        <v>1139</v>
      </c>
      <c r="D228" s="5" t="s">
        <v>901</v>
      </c>
      <c r="E228" s="43" t="n">
        <v>127117</v>
      </c>
      <c r="F228" s="44" t="n">
        <f aca="false">IF(D228="Receipt",E228,-E228)</f>
        <v>127117</v>
      </c>
      <c r="G228" s="5" t="s">
        <v>755</v>
      </c>
      <c r="H228" s="29" t="n">
        <f aca="false">IFERROR(INDEX(Bank_Statement!$F$6:$F$303,MATCH(G228,Bank_Statement!$C$6:$C$303,0)),"Not in bank")</f>
        <v>127117</v>
      </c>
      <c r="I228" s="44" t="n">
        <f aca="false">IF(ISNUMBER(H228),H228-F228,"")</f>
        <v>0</v>
      </c>
      <c r="J228" s="27" t="str">
        <f aca="false">IF(NOT(ISNUMBER(H228)),"Not in bank",IF(ABS(I228)&lt;=Setup!$B$9,"Matched","Amount difference"))</f>
        <v>Matched</v>
      </c>
    </row>
    <row r="229" customFormat="false" ht="15" hidden="false" customHeight="false" outlineLevel="0" collapsed="false">
      <c r="A229" s="41" t="n">
        <v>46255</v>
      </c>
      <c r="B229" s="5" t="s">
        <v>756</v>
      </c>
      <c r="C229" s="45" t="s">
        <v>1127</v>
      </c>
      <c r="D229" s="5" t="s">
        <v>901</v>
      </c>
      <c r="E229" s="43" t="n">
        <v>216267</v>
      </c>
      <c r="F229" s="44" t="n">
        <f aca="false">IF(D229="Receipt",E229,-E229)</f>
        <v>216267</v>
      </c>
      <c r="G229" s="5" t="s">
        <v>757</v>
      </c>
      <c r="H229" s="29" t="n">
        <f aca="false">IFERROR(INDEX(Bank_Statement!$F$6:$F$303,MATCH(G229,Bank_Statement!$C$6:$C$303,0)),"Not in bank")</f>
        <v>216267</v>
      </c>
      <c r="I229" s="44" t="n">
        <f aca="false">IF(ISNUMBER(H229),H229-F229,"")</f>
        <v>0</v>
      </c>
      <c r="J229" s="27" t="str">
        <f aca="false">IF(NOT(ISNUMBER(H229)),"Not in bank",IF(ABS(I229)&lt;=Setup!$B$9,"Matched","Amount difference"))</f>
        <v>Matched</v>
      </c>
    </row>
    <row r="230" customFormat="false" ht="15" hidden="false" customHeight="false" outlineLevel="0" collapsed="false">
      <c r="A230" s="41" t="n">
        <v>46256</v>
      </c>
      <c r="B230" s="5" t="s">
        <v>758</v>
      </c>
      <c r="C230" s="45" t="s">
        <v>1174</v>
      </c>
      <c r="D230" s="5" t="s">
        <v>901</v>
      </c>
      <c r="E230" s="43" t="n">
        <v>145836</v>
      </c>
      <c r="F230" s="44" t="n">
        <f aca="false">IF(D230="Receipt",E230,-E230)</f>
        <v>145836</v>
      </c>
      <c r="G230" s="5" t="s">
        <v>759</v>
      </c>
      <c r="H230" s="29" t="n">
        <f aca="false">IFERROR(INDEX(Bank_Statement!$F$6:$F$303,MATCH(G230,Bank_Statement!$C$6:$C$303,0)),"Not in bank")</f>
        <v>145836</v>
      </c>
      <c r="I230" s="44" t="n">
        <f aca="false">IF(ISNUMBER(H230),H230-F230,"")</f>
        <v>0</v>
      </c>
      <c r="J230" s="27" t="str">
        <f aca="false">IF(NOT(ISNUMBER(H230)),"Not in bank",IF(ABS(I230)&lt;=Setup!$B$9,"Matched","Amount difference"))</f>
        <v>Matched</v>
      </c>
    </row>
    <row r="231" customFormat="false" ht="15" hidden="false" customHeight="false" outlineLevel="0" collapsed="false">
      <c r="A231" s="41" t="n">
        <v>46256</v>
      </c>
      <c r="B231" s="5" t="s">
        <v>760</v>
      </c>
      <c r="C231" s="45" t="s">
        <v>1175</v>
      </c>
      <c r="D231" s="5" t="s">
        <v>901</v>
      </c>
      <c r="E231" s="43" t="n">
        <v>141379</v>
      </c>
      <c r="F231" s="44" t="n">
        <f aca="false">IF(D231="Receipt",E231,-E231)</f>
        <v>141379</v>
      </c>
      <c r="G231" s="5" t="s">
        <v>761</v>
      </c>
      <c r="H231" s="29" t="n">
        <f aca="false">IFERROR(INDEX(Bank_Statement!$F$6:$F$303,MATCH(G231,Bank_Statement!$C$6:$C$303,0)),"Not in bank")</f>
        <v>141379</v>
      </c>
      <c r="I231" s="44" t="n">
        <f aca="false">IF(ISNUMBER(H231),H231-F231,"")</f>
        <v>0</v>
      </c>
      <c r="J231" s="27" t="str">
        <f aca="false">IF(NOT(ISNUMBER(H231)),"Not in bank",IF(ABS(I231)&lt;=Setup!$B$9,"Matched","Amount difference"))</f>
        <v>Matched</v>
      </c>
    </row>
    <row r="232" customFormat="false" ht="15" hidden="false" customHeight="false" outlineLevel="0" collapsed="false">
      <c r="A232" s="41" t="n">
        <v>46256</v>
      </c>
      <c r="B232" s="5" t="s">
        <v>762</v>
      </c>
      <c r="C232" s="45" t="s">
        <v>1176</v>
      </c>
      <c r="D232" s="5" t="s">
        <v>901</v>
      </c>
      <c r="E232" s="43" t="n">
        <v>160071</v>
      </c>
      <c r="F232" s="44" t="n">
        <f aca="false">IF(D232="Receipt",E232,-E232)</f>
        <v>160071</v>
      </c>
      <c r="G232" s="5" t="s">
        <v>763</v>
      </c>
      <c r="H232" s="29" t="n">
        <f aca="false">IFERROR(INDEX(Bank_Statement!$F$6:$F$303,MATCH(G232,Bank_Statement!$C$6:$C$303,0)),"Not in bank")</f>
        <v>160071</v>
      </c>
      <c r="I232" s="44" t="n">
        <f aca="false">IF(ISNUMBER(H232),H232-F232,"")</f>
        <v>0</v>
      </c>
      <c r="J232" s="27" t="str">
        <f aca="false">IF(NOT(ISNUMBER(H232)),"Not in bank",IF(ABS(I232)&lt;=Setup!$B$9,"Matched","Amount difference"))</f>
        <v>Matched</v>
      </c>
    </row>
    <row r="233" customFormat="false" ht="15" hidden="false" customHeight="false" outlineLevel="0" collapsed="false">
      <c r="A233" s="41" t="n">
        <v>46256</v>
      </c>
      <c r="B233" s="5" t="s">
        <v>764</v>
      </c>
      <c r="C233" s="45" t="s">
        <v>1177</v>
      </c>
      <c r="D233" s="5" t="s">
        <v>901</v>
      </c>
      <c r="E233" s="43" t="n">
        <v>419961</v>
      </c>
      <c r="F233" s="44" t="n">
        <f aca="false">IF(D233="Receipt",E233,-E233)</f>
        <v>419961</v>
      </c>
      <c r="G233" s="5" t="s">
        <v>765</v>
      </c>
      <c r="H233" s="29" t="n">
        <f aca="false">IFERROR(INDEX(Bank_Statement!$F$6:$F$303,MATCH(G233,Bank_Statement!$C$6:$C$303,0)),"Not in bank")</f>
        <v>419961</v>
      </c>
      <c r="I233" s="44" t="n">
        <f aca="false">IF(ISNUMBER(H233),H233-F233,"")</f>
        <v>0</v>
      </c>
      <c r="J233" s="27" t="str">
        <f aca="false">IF(NOT(ISNUMBER(H233)),"Not in bank",IF(ABS(I233)&lt;=Setup!$B$9,"Matched","Amount difference"))</f>
        <v>Matched</v>
      </c>
    </row>
    <row r="234" customFormat="false" ht="15" hidden="false" customHeight="false" outlineLevel="0" collapsed="false">
      <c r="A234" s="41" t="n">
        <v>46258</v>
      </c>
      <c r="B234" s="5" t="s">
        <v>1178</v>
      </c>
      <c r="C234" s="45" t="s">
        <v>907</v>
      </c>
      <c r="D234" s="5" t="s">
        <v>892</v>
      </c>
      <c r="E234" s="43" t="n">
        <v>3249000</v>
      </c>
      <c r="F234" s="44" t="n">
        <f aca="false">IF(D234="Receipt",E234,-E234)</f>
        <v>-3249000</v>
      </c>
      <c r="G234" s="5" t="s">
        <v>1179</v>
      </c>
      <c r="H234" s="29" t="n">
        <f aca="false">IFERROR(INDEX(Bank_Statement!$F$6:$F$303,MATCH(G234,Bank_Statement!$C$6:$C$303,0)),"Not in bank")</f>
        <v>-3249000</v>
      </c>
      <c r="I234" s="44" t="n">
        <f aca="false">IF(ISNUMBER(H234),H234-F234,"")</f>
        <v>0</v>
      </c>
      <c r="J234" s="27" t="str">
        <f aca="false">IF(NOT(ISNUMBER(H234)),"Not in bank",IF(ABS(I234)&lt;=Setup!$B$9,"Matched","Amount difference"))</f>
        <v>Matched</v>
      </c>
    </row>
    <row r="235" customFormat="false" ht="15" hidden="false" customHeight="false" outlineLevel="0" collapsed="false">
      <c r="A235" s="41" t="n">
        <v>46259</v>
      </c>
      <c r="B235" s="5" t="s">
        <v>766</v>
      </c>
      <c r="C235" s="45" t="s">
        <v>1180</v>
      </c>
      <c r="D235" s="5" t="s">
        <v>901</v>
      </c>
      <c r="E235" s="43" t="n">
        <v>513625</v>
      </c>
      <c r="F235" s="44" t="n">
        <f aca="false">IF(D235="Receipt",E235,-E235)</f>
        <v>513625</v>
      </c>
      <c r="G235" s="5" t="s">
        <v>767</v>
      </c>
      <c r="H235" s="29" t="n">
        <f aca="false">IFERROR(INDEX(Bank_Statement!$F$6:$F$303,MATCH(G235,Bank_Statement!$C$6:$C$303,0)),"Not in bank")</f>
        <v>513625</v>
      </c>
      <c r="I235" s="44" t="n">
        <f aca="false">IF(ISNUMBER(H235),H235-F235,"")</f>
        <v>0</v>
      </c>
      <c r="J235" s="27" t="str">
        <f aca="false">IF(NOT(ISNUMBER(H235)),"Not in bank",IF(ABS(I235)&lt;=Setup!$B$9,"Matched","Amount difference"))</f>
        <v>Matched</v>
      </c>
    </row>
    <row r="236" customFormat="false" ht="15" hidden="false" customHeight="false" outlineLevel="0" collapsed="false">
      <c r="A236" s="41" t="n">
        <v>46260</v>
      </c>
      <c r="B236" s="5" t="s">
        <v>768</v>
      </c>
      <c r="C236" s="45" t="s">
        <v>1181</v>
      </c>
      <c r="D236" s="5" t="s">
        <v>901</v>
      </c>
      <c r="E236" s="43" t="n">
        <v>264413</v>
      </c>
      <c r="F236" s="44" t="n">
        <f aca="false">IF(D236="Receipt",E236,-E236)</f>
        <v>264413</v>
      </c>
      <c r="G236" s="5" t="s">
        <v>769</v>
      </c>
      <c r="H236" s="29" t="n">
        <f aca="false">IFERROR(INDEX(Bank_Statement!$F$6:$F$303,MATCH(G236,Bank_Statement!$C$6:$C$303,0)),"Not in bank")</f>
        <v>264413</v>
      </c>
      <c r="I236" s="44" t="n">
        <f aca="false">IF(ISNUMBER(H236),H236-F236,"")</f>
        <v>0</v>
      </c>
      <c r="J236" s="27" t="str">
        <f aca="false">IF(NOT(ISNUMBER(H236)),"Not in bank",IF(ABS(I236)&lt;=Setup!$B$9,"Matched","Amount difference"))</f>
        <v>Matched</v>
      </c>
    </row>
    <row r="237" customFormat="false" ht="15" hidden="false" customHeight="false" outlineLevel="0" collapsed="false">
      <c r="A237" s="41" t="n">
        <v>46260</v>
      </c>
      <c r="B237" s="5" t="s">
        <v>770</v>
      </c>
      <c r="C237" s="45" t="s">
        <v>1182</v>
      </c>
      <c r="D237" s="5" t="s">
        <v>901</v>
      </c>
      <c r="E237" s="43" t="n">
        <v>45312</v>
      </c>
      <c r="F237" s="44" t="n">
        <f aca="false">IF(D237="Receipt",E237,-E237)</f>
        <v>45312</v>
      </c>
      <c r="G237" s="5" t="s">
        <v>771</v>
      </c>
      <c r="H237" s="29" t="n">
        <f aca="false">IFERROR(INDEX(Bank_Statement!$F$6:$F$303,MATCH(G237,Bank_Statement!$C$6:$C$303,0)),"Not in bank")</f>
        <v>45312</v>
      </c>
      <c r="I237" s="44" t="n">
        <f aca="false">IF(ISNUMBER(H237),H237-F237,"")</f>
        <v>0</v>
      </c>
      <c r="J237" s="27" t="str">
        <f aca="false">IF(NOT(ISNUMBER(H237)),"Not in bank",IF(ABS(I237)&lt;=Setup!$B$9,"Matched","Amount difference"))</f>
        <v>Matched</v>
      </c>
    </row>
    <row r="238" customFormat="false" ht="15" hidden="false" customHeight="false" outlineLevel="0" collapsed="false">
      <c r="A238" s="41" t="n">
        <v>46261</v>
      </c>
      <c r="B238" s="5" t="s">
        <v>772</v>
      </c>
      <c r="C238" s="45" t="s">
        <v>1183</v>
      </c>
      <c r="D238" s="5" t="s">
        <v>901</v>
      </c>
      <c r="E238" s="43" t="n">
        <v>239093</v>
      </c>
      <c r="F238" s="44" t="n">
        <f aca="false">IF(D238="Receipt",E238,-E238)</f>
        <v>239093</v>
      </c>
      <c r="G238" s="5" t="s">
        <v>773</v>
      </c>
      <c r="H238" s="29" t="n">
        <f aca="false">IFERROR(INDEX(Bank_Statement!$F$6:$F$303,MATCH(G238,Bank_Statement!$C$6:$C$303,0)),"Not in bank")</f>
        <v>239093</v>
      </c>
      <c r="I238" s="44" t="n">
        <f aca="false">IF(ISNUMBER(H238),H238-F238,"")</f>
        <v>0</v>
      </c>
      <c r="J238" s="27" t="str">
        <f aca="false">IF(NOT(ISNUMBER(H238)),"Not in bank",IF(ABS(I238)&lt;=Setup!$B$9,"Matched","Amount difference"))</f>
        <v>Matched</v>
      </c>
    </row>
    <row r="239" customFormat="false" ht="15" hidden="false" customHeight="false" outlineLevel="0" collapsed="false">
      <c r="A239" s="41" t="n">
        <v>46261</v>
      </c>
      <c r="B239" s="5" t="s">
        <v>774</v>
      </c>
      <c r="C239" s="45" t="s">
        <v>1184</v>
      </c>
      <c r="D239" s="5" t="s">
        <v>901</v>
      </c>
      <c r="E239" s="43" t="n">
        <v>525949</v>
      </c>
      <c r="F239" s="44" t="n">
        <f aca="false">IF(D239="Receipt",E239,-E239)</f>
        <v>525949</v>
      </c>
      <c r="G239" s="5" t="s">
        <v>775</v>
      </c>
      <c r="H239" s="29" t="n">
        <f aca="false">IFERROR(INDEX(Bank_Statement!$F$6:$F$303,MATCH(G239,Bank_Statement!$C$6:$C$303,0)),"Not in bank")</f>
        <v>525949</v>
      </c>
      <c r="I239" s="44" t="n">
        <f aca="false">IF(ISNUMBER(H239),H239-F239,"")</f>
        <v>0</v>
      </c>
      <c r="J239" s="27" t="str">
        <f aca="false">IF(NOT(ISNUMBER(H239)),"Not in bank",IF(ABS(I239)&lt;=Setup!$B$9,"Matched","Amount difference"))</f>
        <v>Matched</v>
      </c>
    </row>
    <row r="240" customFormat="false" ht="15" hidden="false" customHeight="false" outlineLevel="0" collapsed="false">
      <c r="A240" s="41" t="n">
        <v>46262</v>
      </c>
      <c r="B240" s="5" t="s">
        <v>776</v>
      </c>
      <c r="C240" s="45" t="s">
        <v>1185</v>
      </c>
      <c r="D240" s="5" t="s">
        <v>901</v>
      </c>
      <c r="E240" s="43" t="n">
        <v>275724</v>
      </c>
      <c r="F240" s="44" t="n">
        <f aca="false">IF(D240="Receipt",E240,-E240)</f>
        <v>275724</v>
      </c>
      <c r="G240" s="5" t="s">
        <v>777</v>
      </c>
      <c r="H240" s="29" t="n">
        <f aca="false">IFERROR(INDEX(Bank_Statement!$F$6:$F$303,MATCH(G240,Bank_Statement!$C$6:$C$303,0)),"Not in bank")</f>
        <v>275724</v>
      </c>
      <c r="I240" s="44" t="n">
        <f aca="false">IF(ISNUMBER(H240),H240-F240,"")</f>
        <v>0</v>
      </c>
      <c r="J240" s="27" t="str">
        <f aca="false">IF(NOT(ISNUMBER(H240)),"Not in bank",IF(ABS(I240)&lt;=Setup!$B$9,"Matched","Amount difference"))</f>
        <v>Matched</v>
      </c>
    </row>
    <row r="241" customFormat="false" ht="15" hidden="false" customHeight="false" outlineLevel="0" collapsed="false">
      <c r="A241" s="41" t="n">
        <v>46262</v>
      </c>
      <c r="B241" s="5" t="s">
        <v>1186</v>
      </c>
      <c r="C241" s="45" t="s">
        <v>904</v>
      </c>
      <c r="D241" s="5" t="s">
        <v>892</v>
      </c>
      <c r="E241" s="43" t="n">
        <v>178651</v>
      </c>
      <c r="F241" s="44" t="n">
        <f aca="false">IF(D241="Receipt",E241,-E241)</f>
        <v>-178651</v>
      </c>
      <c r="G241" s="5" t="s">
        <v>1187</v>
      </c>
      <c r="H241" s="29" t="n">
        <f aca="false">IFERROR(INDEX(Bank_Statement!$F$6:$F$303,MATCH(G241,Bank_Statement!$C$6:$C$303,0)),"Not in bank")</f>
        <v>-178651</v>
      </c>
      <c r="I241" s="44" t="n">
        <f aca="false">IF(ISNUMBER(H241),H241-F241,"")</f>
        <v>0</v>
      </c>
      <c r="J241" s="27" t="str">
        <f aca="false">IF(NOT(ISNUMBER(H241)),"Not in bank",IF(ABS(I241)&lt;=Setup!$B$9,"Matched","Amount difference"))</f>
        <v>Matched</v>
      </c>
    </row>
    <row r="242" customFormat="false" ht="15" hidden="false" customHeight="false" outlineLevel="0" collapsed="false">
      <c r="A242" s="41" t="n">
        <v>46263</v>
      </c>
      <c r="B242" s="5" t="s">
        <v>778</v>
      </c>
      <c r="C242" s="45" t="s">
        <v>1188</v>
      </c>
      <c r="D242" s="5" t="s">
        <v>901</v>
      </c>
      <c r="E242" s="43" t="n">
        <v>487180</v>
      </c>
      <c r="F242" s="44" t="n">
        <f aca="false">IF(D242="Receipt",E242,-E242)</f>
        <v>487180</v>
      </c>
      <c r="G242" s="5" t="s">
        <v>779</v>
      </c>
      <c r="H242" s="29" t="n">
        <f aca="false">IFERROR(INDEX(Bank_Statement!$F$6:$F$303,MATCH(G242,Bank_Statement!$C$6:$C$303,0)),"Not in bank")</f>
        <v>487180</v>
      </c>
      <c r="I242" s="44" t="n">
        <f aca="false">IF(ISNUMBER(H242),H242-F242,"")</f>
        <v>0</v>
      </c>
      <c r="J242" s="27" t="str">
        <f aca="false">IF(NOT(ISNUMBER(H242)),"Not in bank",IF(ABS(I242)&lt;=Setup!$B$9,"Matched","Amount difference"))</f>
        <v>Matched</v>
      </c>
    </row>
    <row r="243" customFormat="false" ht="15" hidden="false" customHeight="false" outlineLevel="0" collapsed="false">
      <c r="A243" s="41" t="n">
        <v>46263</v>
      </c>
      <c r="B243" s="5" t="s">
        <v>780</v>
      </c>
      <c r="C243" s="45" t="s">
        <v>1189</v>
      </c>
      <c r="D243" s="5" t="s">
        <v>901</v>
      </c>
      <c r="E243" s="43" t="n">
        <v>77375</v>
      </c>
      <c r="F243" s="44" t="n">
        <f aca="false">IF(D243="Receipt",E243,-E243)</f>
        <v>77375</v>
      </c>
      <c r="G243" s="5" t="s">
        <v>781</v>
      </c>
      <c r="H243" s="29" t="n">
        <f aca="false">IFERROR(INDEX(Bank_Statement!$F$6:$F$303,MATCH(G243,Bank_Statement!$C$6:$C$303,0)),"Not in bank")</f>
        <v>77375</v>
      </c>
      <c r="I243" s="44" t="n">
        <f aca="false">IF(ISNUMBER(H243),H243-F243,"")</f>
        <v>0</v>
      </c>
      <c r="J243" s="27" t="str">
        <f aca="false">IF(NOT(ISNUMBER(H243)),"Not in bank",IF(ABS(I243)&lt;=Setup!$B$9,"Matched","Amount difference"))</f>
        <v>Matched</v>
      </c>
    </row>
    <row r="244" customFormat="false" ht="15" hidden="false" customHeight="false" outlineLevel="0" collapsed="false">
      <c r="A244" s="41" t="n">
        <v>46264</v>
      </c>
      <c r="B244" s="5" t="s">
        <v>782</v>
      </c>
      <c r="C244" s="45" t="s">
        <v>1190</v>
      </c>
      <c r="D244" s="5" t="s">
        <v>901</v>
      </c>
      <c r="E244" s="43" t="n">
        <v>399984</v>
      </c>
      <c r="F244" s="44" t="n">
        <f aca="false">IF(D244="Receipt",E244,-E244)</f>
        <v>399984</v>
      </c>
      <c r="G244" s="5" t="s">
        <v>783</v>
      </c>
      <c r="H244" s="29" t="n">
        <f aca="false">IFERROR(INDEX(Bank_Statement!$F$6:$F$303,MATCH(G244,Bank_Statement!$C$6:$C$303,0)),"Not in bank")</f>
        <v>399984</v>
      </c>
      <c r="I244" s="44" t="n">
        <f aca="false">IF(ISNUMBER(H244),H244-F244,"")</f>
        <v>0</v>
      </c>
      <c r="J244" s="27" t="str">
        <f aca="false">IF(NOT(ISNUMBER(H244)),"Not in bank",IF(ABS(I244)&lt;=Setup!$B$9,"Matched","Amount difference"))</f>
        <v>Matched</v>
      </c>
    </row>
    <row r="245" customFormat="false" ht="15" hidden="false" customHeight="false" outlineLevel="0" collapsed="false">
      <c r="A245" s="41" t="n">
        <v>46264</v>
      </c>
      <c r="B245" s="5" t="s">
        <v>784</v>
      </c>
      <c r="C245" s="45" t="s">
        <v>1191</v>
      </c>
      <c r="D245" s="5" t="s">
        <v>901</v>
      </c>
      <c r="E245" s="43" t="n">
        <v>227449</v>
      </c>
      <c r="F245" s="44" t="n">
        <f aca="false">IF(D245="Receipt",E245,-E245)</f>
        <v>227449</v>
      </c>
      <c r="G245" s="5" t="s">
        <v>785</v>
      </c>
      <c r="H245" s="29" t="n">
        <f aca="false">IFERROR(INDEX(Bank_Statement!$F$6:$F$303,MATCH(G245,Bank_Statement!$C$6:$C$303,0)),"Not in bank")</f>
        <v>227449</v>
      </c>
      <c r="I245" s="44" t="n">
        <f aca="false">IF(ISNUMBER(H245),H245-F245,"")</f>
        <v>0</v>
      </c>
      <c r="J245" s="27" t="str">
        <f aca="false">IF(NOT(ISNUMBER(H245)),"Not in bank",IF(ABS(I245)&lt;=Setup!$B$9,"Matched","Amount difference"))</f>
        <v>Matched</v>
      </c>
    </row>
    <row r="246" customFormat="false" ht="15" hidden="false" customHeight="false" outlineLevel="0" collapsed="false">
      <c r="A246" s="41" t="n">
        <v>46265</v>
      </c>
      <c r="B246" s="5" t="s">
        <v>786</v>
      </c>
      <c r="C246" s="45" t="s">
        <v>1192</v>
      </c>
      <c r="D246" s="5" t="s">
        <v>901</v>
      </c>
      <c r="E246" s="43" t="n">
        <v>451887</v>
      </c>
      <c r="F246" s="44" t="n">
        <f aca="false">IF(D246="Receipt",E246,-E246)</f>
        <v>451887</v>
      </c>
      <c r="G246" s="5" t="s">
        <v>787</v>
      </c>
      <c r="H246" s="29" t="n">
        <f aca="false">IFERROR(INDEX(Bank_Statement!$F$6:$F$303,MATCH(G246,Bank_Statement!$C$6:$C$303,0)),"Not in bank")</f>
        <v>451887</v>
      </c>
      <c r="I246" s="44" t="n">
        <f aca="false">IF(ISNUMBER(H246),H246-F246,"")</f>
        <v>0</v>
      </c>
      <c r="J246" s="27" t="str">
        <f aca="false">IF(NOT(ISNUMBER(H246)),"Not in bank",IF(ABS(I246)&lt;=Setup!$B$9,"Matched","Amount difference"))</f>
        <v>Matched</v>
      </c>
    </row>
    <row r="247" customFormat="false" ht="15" hidden="false" customHeight="false" outlineLevel="0" collapsed="false">
      <c r="A247" s="41" t="n">
        <v>46265</v>
      </c>
      <c r="B247" s="5" t="s">
        <v>1193</v>
      </c>
      <c r="C247" s="45" t="s">
        <v>1194</v>
      </c>
      <c r="D247" s="5" t="s">
        <v>892</v>
      </c>
      <c r="E247" s="43" t="n">
        <v>590</v>
      </c>
      <c r="F247" s="44" t="n">
        <f aca="false">IF(D247="Receipt",E247,-E247)</f>
        <v>-590</v>
      </c>
      <c r="G247" s="5" t="s">
        <v>1195</v>
      </c>
      <c r="H247" s="29" t="n">
        <f aca="false">IFERROR(INDEX(Bank_Statement!$F$6:$F$303,MATCH(G247,Bank_Statement!$C$6:$C$303,0)),"Not in bank")</f>
        <v>-590</v>
      </c>
      <c r="I247" s="44" t="n">
        <f aca="false">IF(ISNUMBER(H247),H247-F247,"")</f>
        <v>0</v>
      </c>
      <c r="J247" s="27" t="str">
        <f aca="false">IF(NOT(ISNUMBER(H247)),"Not in bank",IF(ABS(I247)&lt;=Setup!$B$9,"Matched","Amount difference"))</f>
        <v>Matched</v>
      </c>
    </row>
    <row r="248" customFormat="false" ht="15" hidden="false" customHeight="false" outlineLevel="0" collapsed="false">
      <c r="A248" s="41" t="n">
        <v>46266</v>
      </c>
      <c r="B248" s="5" t="s">
        <v>788</v>
      </c>
      <c r="C248" s="45" t="s">
        <v>1196</v>
      </c>
      <c r="D248" s="5" t="s">
        <v>901</v>
      </c>
      <c r="E248" s="43" t="n">
        <v>304754</v>
      </c>
      <c r="F248" s="44" t="n">
        <f aca="false">IF(D248="Receipt",E248,-E248)</f>
        <v>304754</v>
      </c>
      <c r="G248" s="5" t="s">
        <v>789</v>
      </c>
      <c r="H248" s="29" t="n">
        <f aca="false">IFERROR(INDEX(Bank_Statement!$F$6:$F$303,MATCH(G248,Bank_Statement!$C$6:$C$303,0)),"Not in bank")</f>
        <v>304754</v>
      </c>
      <c r="I248" s="44" t="n">
        <f aca="false">IF(ISNUMBER(H248),H248-F248,"")</f>
        <v>0</v>
      </c>
      <c r="J248" s="27" t="str">
        <f aca="false">IF(NOT(ISNUMBER(H248)),"Not in bank",IF(ABS(I248)&lt;=Setup!$B$9,"Matched","Amount difference"))</f>
        <v>Matched</v>
      </c>
    </row>
    <row r="249" customFormat="false" ht="15" hidden="false" customHeight="false" outlineLevel="0" collapsed="false">
      <c r="A249" s="41" t="n">
        <v>46266</v>
      </c>
      <c r="B249" s="5" t="s">
        <v>790</v>
      </c>
      <c r="C249" s="45" t="s">
        <v>1197</v>
      </c>
      <c r="D249" s="5" t="s">
        <v>901</v>
      </c>
      <c r="E249" s="43" t="n">
        <v>238357</v>
      </c>
      <c r="F249" s="44" t="n">
        <f aca="false">IF(D249="Receipt",E249,-E249)</f>
        <v>238357</v>
      </c>
      <c r="G249" s="5" t="s">
        <v>791</v>
      </c>
      <c r="H249" s="29" t="n">
        <f aca="false">IFERROR(INDEX(Bank_Statement!$F$6:$F$303,MATCH(G249,Bank_Statement!$C$6:$C$303,0)),"Not in bank")</f>
        <v>238357</v>
      </c>
      <c r="I249" s="44" t="n">
        <f aca="false">IF(ISNUMBER(H249),H249-F249,"")</f>
        <v>0</v>
      </c>
      <c r="J249" s="27" t="str">
        <f aca="false">IF(NOT(ISNUMBER(H249)),"Not in bank",IF(ABS(I249)&lt;=Setup!$B$9,"Matched","Amount difference"))</f>
        <v>Matched</v>
      </c>
    </row>
    <row r="250" customFormat="false" ht="15" hidden="false" customHeight="false" outlineLevel="0" collapsed="false">
      <c r="A250" s="41" t="n">
        <v>46266</v>
      </c>
      <c r="B250" s="5" t="s">
        <v>1198</v>
      </c>
      <c r="C250" s="45" t="s">
        <v>1199</v>
      </c>
      <c r="D250" s="5" t="s">
        <v>892</v>
      </c>
      <c r="E250" s="43" t="n">
        <v>360000</v>
      </c>
      <c r="F250" s="44" t="n">
        <f aca="false">IF(D250="Receipt",E250,-E250)</f>
        <v>-360000</v>
      </c>
      <c r="G250" s="5" t="s">
        <v>1200</v>
      </c>
      <c r="H250" s="29" t="n">
        <f aca="false">IFERROR(INDEX(Bank_Statement!$F$6:$F$303,MATCH(G250,Bank_Statement!$C$6:$C$303,0)),"Not in bank")</f>
        <v>-360000</v>
      </c>
      <c r="I250" s="44" t="n">
        <f aca="false">IF(ISNUMBER(H250),H250-F250,"")</f>
        <v>0</v>
      </c>
      <c r="J250" s="27" t="str">
        <f aca="false">IF(NOT(ISNUMBER(H250)),"Not in bank",IF(ABS(I250)&lt;=Setup!$B$9,"Matched","Amount difference"))</f>
        <v>Matched</v>
      </c>
    </row>
    <row r="251" customFormat="false" ht="15" hidden="false" customHeight="false" outlineLevel="0" collapsed="false">
      <c r="A251" s="41" t="n">
        <v>46267</v>
      </c>
      <c r="B251" s="5" t="s">
        <v>792</v>
      </c>
      <c r="C251" s="45" t="s">
        <v>1201</v>
      </c>
      <c r="D251" s="5" t="s">
        <v>901</v>
      </c>
      <c r="E251" s="43" t="n">
        <v>74807</v>
      </c>
      <c r="F251" s="44" t="n">
        <f aca="false">IF(D251="Receipt",E251,-E251)</f>
        <v>74807</v>
      </c>
      <c r="G251" s="5" t="s">
        <v>793</v>
      </c>
      <c r="H251" s="29" t="n">
        <f aca="false">IFERROR(INDEX(Bank_Statement!$F$6:$F$303,MATCH(G251,Bank_Statement!$C$6:$C$303,0)),"Not in bank")</f>
        <v>74807</v>
      </c>
      <c r="I251" s="44" t="n">
        <f aca="false">IF(ISNUMBER(H251),H251-F251,"")</f>
        <v>0</v>
      </c>
      <c r="J251" s="27" t="str">
        <f aca="false">IF(NOT(ISNUMBER(H251)),"Not in bank",IF(ABS(I251)&lt;=Setup!$B$9,"Matched","Amount difference"))</f>
        <v>Matched</v>
      </c>
    </row>
    <row r="252" customFormat="false" ht="15" hidden="false" customHeight="false" outlineLevel="0" collapsed="false">
      <c r="A252" s="41" t="n">
        <v>46269</v>
      </c>
      <c r="B252" s="5" t="s">
        <v>794</v>
      </c>
      <c r="C252" s="45" t="s">
        <v>1202</v>
      </c>
      <c r="D252" s="5" t="s">
        <v>901</v>
      </c>
      <c r="E252" s="43" t="n">
        <v>208633</v>
      </c>
      <c r="F252" s="44" t="n">
        <f aca="false">IF(D252="Receipt",E252,-E252)</f>
        <v>208633</v>
      </c>
      <c r="G252" s="5" t="s">
        <v>795</v>
      </c>
      <c r="H252" s="29" t="n">
        <f aca="false">IFERROR(INDEX(Bank_Statement!$F$6:$F$303,MATCH(G252,Bank_Statement!$C$6:$C$303,0)),"Not in bank")</f>
        <v>208633</v>
      </c>
      <c r="I252" s="44" t="n">
        <f aca="false">IF(ISNUMBER(H252),H252-F252,"")</f>
        <v>0</v>
      </c>
      <c r="J252" s="27" t="str">
        <f aca="false">IF(NOT(ISNUMBER(H252)),"Not in bank",IF(ABS(I252)&lt;=Setup!$B$9,"Matched","Amount difference"))</f>
        <v>Matched</v>
      </c>
    </row>
    <row r="253" customFormat="false" ht="15" hidden="false" customHeight="false" outlineLevel="0" collapsed="false">
      <c r="A253" s="41" t="n">
        <v>46269</v>
      </c>
      <c r="B253" s="5" t="s">
        <v>796</v>
      </c>
      <c r="C253" s="45" t="s">
        <v>1203</v>
      </c>
      <c r="D253" s="5" t="s">
        <v>901</v>
      </c>
      <c r="E253" s="43" t="n">
        <v>439817</v>
      </c>
      <c r="F253" s="44" t="n">
        <f aca="false">IF(D253="Receipt",E253,-E253)</f>
        <v>439817</v>
      </c>
      <c r="G253" s="5" t="s">
        <v>797</v>
      </c>
      <c r="H253" s="29" t="n">
        <f aca="false">IFERROR(INDEX(Bank_Statement!$F$6:$F$303,MATCH(G253,Bank_Statement!$C$6:$C$303,0)),"Not in bank")</f>
        <v>439817</v>
      </c>
      <c r="I253" s="44" t="n">
        <f aca="false">IF(ISNUMBER(H253),H253-F253,"")</f>
        <v>0</v>
      </c>
      <c r="J253" s="27" t="str">
        <f aca="false">IF(NOT(ISNUMBER(H253)),"Not in bank",IF(ABS(I253)&lt;=Setup!$B$9,"Matched","Amount difference"))</f>
        <v>Matched</v>
      </c>
    </row>
    <row r="254" customFormat="false" ht="15" hidden="false" customHeight="false" outlineLevel="0" collapsed="false">
      <c r="A254" s="41" t="n">
        <v>46270</v>
      </c>
      <c r="B254" s="5" t="s">
        <v>798</v>
      </c>
      <c r="C254" s="45" t="s">
        <v>1204</v>
      </c>
      <c r="D254" s="5" t="s">
        <v>901</v>
      </c>
      <c r="E254" s="43" t="n">
        <v>100796</v>
      </c>
      <c r="F254" s="44" t="n">
        <f aca="false">IF(D254="Receipt",E254,-E254)</f>
        <v>100796</v>
      </c>
      <c r="G254" s="5" t="s">
        <v>799</v>
      </c>
      <c r="H254" s="29" t="n">
        <f aca="false">IFERROR(INDEX(Bank_Statement!$F$6:$F$303,MATCH(G254,Bank_Statement!$C$6:$C$303,0)),"Not in bank")</f>
        <v>100796</v>
      </c>
      <c r="I254" s="44" t="n">
        <f aca="false">IF(ISNUMBER(H254),H254-F254,"")</f>
        <v>0</v>
      </c>
      <c r="J254" s="27" t="str">
        <f aca="false">IF(NOT(ISNUMBER(H254)),"Not in bank",IF(ABS(I254)&lt;=Setup!$B$9,"Matched","Amount difference"))</f>
        <v>Matched</v>
      </c>
    </row>
    <row r="255" customFormat="false" ht="15" hidden="false" customHeight="false" outlineLevel="0" collapsed="false">
      <c r="A255" s="41" t="n">
        <v>46270</v>
      </c>
      <c r="B255" s="5" t="s">
        <v>800</v>
      </c>
      <c r="C255" s="45" t="s">
        <v>1205</v>
      </c>
      <c r="D255" s="5" t="s">
        <v>901</v>
      </c>
      <c r="E255" s="43" t="n">
        <v>131780</v>
      </c>
      <c r="F255" s="44" t="n">
        <f aca="false">IF(D255="Receipt",E255,-E255)</f>
        <v>131780</v>
      </c>
      <c r="G255" s="5" t="s">
        <v>801</v>
      </c>
      <c r="H255" s="29" t="n">
        <f aca="false">IFERROR(INDEX(Bank_Statement!$F$6:$F$303,MATCH(G255,Bank_Statement!$C$6:$C$303,0)),"Not in bank")</f>
        <v>131780</v>
      </c>
      <c r="I255" s="44" t="n">
        <f aca="false">IF(ISNUMBER(H255),H255-F255,"")</f>
        <v>0</v>
      </c>
      <c r="J255" s="27" t="str">
        <f aca="false">IF(NOT(ISNUMBER(H255)),"Not in bank",IF(ABS(I255)&lt;=Setup!$B$9,"Matched","Amount difference"))</f>
        <v>Matched</v>
      </c>
    </row>
    <row r="256" customFormat="false" ht="15" hidden="false" customHeight="false" outlineLevel="0" collapsed="false">
      <c r="A256" s="41" t="n">
        <v>46270</v>
      </c>
      <c r="B256" s="5" t="s">
        <v>802</v>
      </c>
      <c r="C256" s="45" t="s">
        <v>1206</v>
      </c>
      <c r="D256" s="5" t="s">
        <v>901</v>
      </c>
      <c r="E256" s="43" t="n">
        <v>569701</v>
      </c>
      <c r="F256" s="44" t="n">
        <f aca="false">IF(D256="Receipt",E256,-E256)</f>
        <v>569701</v>
      </c>
      <c r="G256" s="5" t="s">
        <v>803</v>
      </c>
      <c r="H256" s="29" t="n">
        <f aca="false">IFERROR(INDEX(Bank_Statement!$F$6:$F$303,MATCH(G256,Bank_Statement!$C$6:$C$303,0)),"Not in bank")</f>
        <v>569701</v>
      </c>
      <c r="I256" s="44" t="n">
        <f aca="false">IF(ISNUMBER(H256),H256-F256,"")</f>
        <v>0</v>
      </c>
      <c r="J256" s="27" t="str">
        <f aca="false">IF(NOT(ISNUMBER(H256)),"Not in bank",IF(ABS(I256)&lt;=Setup!$B$9,"Matched","Amount difference"))</f>
        <v>Matched</v>
      </c>
    </row>
    <row r="257" customFormat="false" ht="15" hidden="false" customHeight="false" outlineLevel="0" collapsed="false">
      <c r="A257" s="41" t="n">
        <v>46270</v>
      </c>
      <c r="B257" s="5" t="s">
        <v>1207</v>
      </c>
      <c r="C257" s="45" t="s">
        <v>898</v>
      </c>
      <c r="D257" s="5" t="s">
        <v>892</v>
      </c>
      <c r="E257" s="43" t="n">
        <v>95000</v>
      </c>
      <c r="F257" s="44" t="n">
        <f aca="false">IF(D257="Receipt",E257,-E257)</f>
        <v>-95000</v>
      </c>
      <c r="G257" s="5" t="s">
        <v>1208</v>
      </c>
      <c r="H257" s="29" t="n">
        <f aca="false">IFERROR(INDEX(Bank_Statement!$F$6:$F$303,MATCH(G257,Bank_Statement!$C$6:$C$303,0)),"Not in bank")</f>
        <v>-95000</v>
      </c>
      <c r="I257" s="44" t="n">
        <f aca="false">IF(ISNUMBER(H257),H257-F257,"")</f>
        <v>0</v>
      </c>
      <c r="J257" s="27" t="str">
        <f aca="false">IF(NOT(ISNUMBER(H257)),"Not in bank",IF(ABS(I257)&lt;=Setup!$B$9,"Matched","Amount difference"))</f>
        <v>Matched</v>
      </c>
    </row>
    <row r="258" customFormat="false" ht="15" hidden="false" customHeight="false" outlineLevel="0" collapsed="false">
      <c r="A258" s="41" t="n">
        <v>46271</v>
      </c>
      <c r="B258" s="5" t="s">
        <v>804</v>
      </c>
      <c r="C258" s="45" t="s">
        <v>1209</v>
      </c>
      <c r="D258" s="5" t="s">
        <v>901</v>
      </c>
      <c r="E258" s="43" t="n">
        <v>78156</v>
      </c>
      <c r="F258" s="44" t="n">
        <f aca="false">IF(D258="Receipt",E258,-E258)</f>
        <v>78156</v>
      </c>
      <c r="G258" s="5" t="s">
        <v>805</v>
      </c>
      <c r="H258" s="29" t="n">
        <f aca="false">IFERROR(INDEX(Bank_Statement!$F$6:$F$303,MATCH(G258,Bank_Statement!$C$6:$C$303,0)),"Not in bank")</f>
        <v>78156</v>
      </c>
      <c r="I258" s="44" t="n">
        <f aca="false">IF(ISNUMBER(H258),H258-F258,"")</f>
        <v>0</v>
      </c>
      <c r="J258" s="27" t="str">
        <f aca="false">IF(NOT(ISNUMBER(H258)),"Not in bank",IF(ABS(I258)&lt;=Setup!$B$9,"Matched","Amount difference"))</f>
        <v>Matched</v>
      </c>
    </row>
    <row r="259" customFormat="false" ht="15" hidden="false" customHeight="false" outlineLevel="0" collapsed="false">
      <c r="A259" s="41" t="n">
        <v>46271</v>
      </c>
      <c r="B259" s="5" t="s">
        <v>806</v>
      </c>
      <c r="C259" s="45" t="s">
        <v>1210</v>
      </c>
      <c r="D259" s="5" t="s">
        <v>901</v>
      </c>
      <c r="E259" s="43" t="n">
        <v>243701</v>
      </c>
      <c r="F259" s="44" t="n">
        <f aca="false">IF(D259="Receipt",E259,-E259)</f>
        <v>243701</v>
      </c>
      <c r="G259" s="5" t="s">
        <v>807</v>
      </c>
      <c r="H259" s="29" t="n">
        <f aca="false">IFERROR(INDEX(Bank_Statement!$F$6:$F$303,MATCH(G259,Bank_Statement!$C$6:$C$303,0)),"Not in bank")</f>
        <v>243701</v>
      </c>
      <c r="I259" s="44" t="n">
        <f aca="false">IF(ISNUMBER(H259),H259-F259,"")</f>
        <v>0</v>
      </c>
      <c r="J259" s="27" t="str">
        <f aca="false">IF(NOT(ISNUMBER(H259)),"Not in bank",IF(ABS(I259)&lt;=Setup!$B$9,"Matched","Amount difference"))</f>
        <v>Matched</v>
      </c>
    </row>
    <row r="260" customFormat="false" ht="15" hidden="false" customHeight="false" outlineLevel="0" collapsed="false">
      <c r="A260" s="41" t="n">
        <v>46272</v>
      </c>
      <c r="B260" s="5" t="s">
        <v>808</v>
      </c>
      <c r="C260" s="45" t="s">
        <v>1211</v>
      </c>
      <c r="D260" s="5" t="s">
        <v>901</v>
      </c>
      <c r="E260" s="43" t="n">
        <v>211441</v>
      </c>
      <c r="F260" s="44" t="n">
        <f aca="false">IF(D260="Receipt",E260,-E260)</f>
        <v>211441</v>
      </c>
      <c r="G260" s="5" t="s">
        <v>809</v>
      </c>
      <c r="H260" s="29" t="n">
        <f aca="false">IFERROR(INDEX(Bank_Statement!$F$6:$F$303,MATCH(G260,Bank_Statement!$C$6:$C$303,0)),"Not in bank")</f>
        <v>211441</v>
      </c>
      <c r="I260" s="44" t="n">
        <f aca="false">IF(ISNUMBER(H260),H260-F260,"")</f>
        <v>0</v>
      </c>
      <c r="J260" s="27" t="str">
        <f aca="false">IF(NOT(ISNUMBER(H260)),"Not in bank",IF(ABS(I260)&lt;=Setup!$B$9,"Matched","Amount difference"))</f>
        <v>Matched</v>
      </c>
    </row>
    <row r="261" customFormat="false" ht="15" hidden="false" customHeight="false" outlineLevel="0" collapsed="false">
      <c r="A261" s="41" t="n">
        <v>46272</v>
      </c>
      <c r="B261" s="5" t="s">
        <v>810</v>
      </c>
      <c r="C261" s="45" t="s">
        <v>1212</v>
      </c>
      <c r="D261" s="5" t="s">
        <v>901</v>
      </c>
      <c r="E261" s="43" t="n">
        <v>107838</v>
      </c>
      <c r="F261" s="44" t="n">
        <f aca="false">IF(D261="Receipt",E261,-E261)</f>
        <v>107838</v>
      </c>
      <c r="G261" s="5" t="s">
        <v>811</v>
      </c>
      <c r="H261" s="29" t="n">
        <f aca="false">IFERROR(INDEX(Bank_Statement!$F$6:$F$303,MATCH(G261,Bank_Statement!$C$6:$C$303,0)),"Not in bank")</f>
        <v>107838</v>
      </c>
      <c r="I261" s="44" t="n">
        <f aca="false">IF(ISNUMBER(H261),H261-F261,"")</f>
        <v>0</v>
      </c>
      <c r="J261" s="27" t="str">
        <f aca="false">IF(NOT(ISNUMBER(H261)),"Not in bank",IF(ABS(I261)&lt;=Setup!$B$9,"Matched","Amount difference"))</f>
        <v>Matched</v>
      </c>
    </row>
    <row r="262" customFormat="false" ht="15" hidden="false" customHeight="false" outlineLevel="0" collapsed="false">
      <c r="A262" s="41" t="n">
        <v>46273</v>
      </c>
      <c r="B262" s="5" t="s">
        <v>812</v>
      </c>
      <c r="C262" s="45" t="s">
        <v>1182</v>
      </c>
      <c r="D262" s="5" t="s">
        <v>901</v>
      </c>
      <c r="E262" s="43" t="n">
        <v>43301</v>
      </c>
      <c r="F262" s="44" t="n">
        <f aca="false">IF(D262="Receipt",E262,-E262)</f>
        <v>43301</v>
      </c>
      <c r="G262" s="5" t="s">
        <v>813</v>
      </c>
      <c r="H262" s="29" t="n">
        <f aca="false">IFERROR(INDEX(Bank_Statement!$F$6:$F$303,MATCH(G262,Bank_Statement!$C$6:$C$303,0)),"Not in bank")</f>
        <v>43301</v>
      </c>
      <c r="I262" s="44" t="n">
        <f aca="false">IF(ISNUMBER(H262),H262-F262,"")</f>
        <v>0</v>
      </c>
      <c r="J262" s="27" t="str">
        <f aca="false">IF(NOT(ISNUMBER(H262)),"Not in bank",IF(ABS(I262)&lt;=Setup!$B$9,"Matched","Amount difference"))</f>
        <v>Matched</v>
      </c>
    </row>
    <row r="263" customFormat="false" ht="15" hidden="false" customHeight="false" outlineLevel="0" collapsed="false">
      <c r="A263" s="41" t="n">
        <v>46274</v>
      </c>
      <c r="B263" s="5" t="s">
        <v>814</v>
      </c>
      <c r="C263" s="45" t="s">
        <v>1164</v>
      </c>
      <c r="D263" s="5" t="s">
        <v>901</v>
      </c>
      <c r="E263" s="43" t="n">
        <v>233539</v>
      </c>
      <c r="F263" s="44" t="n">
        <f aca="false">IF(D263="Receipt",E263,-E263)</f>
        <v>233539</v>
      </c>
      <c r="G263" s="5" t="s">
        <v>815</v>
      </c>
      <c r="H263" s="29" t="n">
        <f aca="false">IFERROR(INDEX(Bank_Statement!$F$6:$F$303,MATCH(G263,Bank_Statement!$C$6:$C$303,0)),"Not in bank")</f>
        <v>233539</v>
      </c>
      <c r="I263" s="44" t="n">
        <f aca="false">IF(ISNUMBER(H263),H263-F263,"")</f>
        <v>0</v>
      </c>
      <c r="J263" s="27" t="str">
        <f aca="false">IF(NOT(ISNUMBER(H263)),"Not in bank",IF(ABS(I263)&lt;=Setup!$B$9,"Matched","Amount difference"))</f>
        <v>Matched</v>
      </c>
    </row>
    <row r="264" customFormat="false" ht="15" hidden="false" customHeight="false" outlineLevel="0" collapsed="false">
      <c r="A264" s="41" t="n">
        <v>46274</v>
      </c>
      <c r="B264" s="5" t="s">
        <v>816</v>
      </c>
      <c r="C264" s="45" t="s">
        <v>1213</v>
      </c>
      <c r="D264" s="5" t="s">
        <v>901</v>
      </c>
      <c r="E264" s="43" t="n">
        <v>131648</v>
      </c>
      <c r="F264" s="44" t="n">
        <f aca="false">IF(D264="Receipt",E264,-E264)</f>
        <v>131648</v>
      </c>
      <c r="G264" s="5" t="s">
        <v>817</v>
      </c>
      <c r="H264" s="29" t="n">
        <f aca="false">IFERROR(INDEX(Bank_Statement!$F$6:$F$303,MATCH(G264,Bank_Statement!$C$6:$C$303,0)),"Not in bank")</f>
        <v>131648</v>
      </c>
      <c r="I264" s="44" t="n">
        <f aca="false">IF(ISNUMBER(H264),H264-F264,"")</f>
        <v>0</v>
      </c>
      <c r="J264" s="27" t="str">
        <f aca="false">IF(NOT(ISNUMBER(H264)),"Not in bank",IF(ABS(I264)&lt;=Setup!$B$9,"Matched","Amount difference"))</f>
        <v>Matched</v>
      </c>
    </row>
    <row r="265" customFormat="false" ht="15" hidden="false" customHeight="false" outlineLevel="0" collapsed="false">
      <c r="A265" s="41" t="n">
        <v>46275</v>
      </c>
      <c r="B265" s="5" t="s">
        <v>818</v>
      </c>
      <c r="C265" s="45" t="s">
        <v>1176</v>
      </c>
      <c r="D265" s="5" t="s">
        <v>901</v>
      </c>
      <c r="E265" s="43" t="n">
        <v>141799</v>
      </c>
      <c r="F265" s="44" t="n">
        <f aca="false">IF(D265="Receipt",E265,-E265)</f>
        <v>141799</v>
      </c>
      <c r="G265" s="5" t="s">
        <v>819</v>
      </c>
      <c r="H265" s="29" t="n">
        <f aca="false">IFERROR(INDEX(Bank_Statement!$F$6:$F$303,MATCH(G265,Bank_Statement!$C$6:$C$303,0)),"Not in bank")</f>
        <v>141799</v>
      </c>
      <c r="I265" s="44" t="n">
        <f aca="false">IF(ISNUMBER(H265),H265-F265,"")</f>
        <v>0</v>
      </c>
      <c r="J265" s="27" t="str">
        <f aca="false">IF(NOT(ISNUMBER(H265)),"Not in bank",IF(ABS(I265)&lt;=Setup!$B$9,"Matched","Amount difference"))</f>
        <v>Matched</v>
      </c>
    </row>
    <row r="266" customFormat="false" ht="15" hidden="false" customHeight="false" outlineLevel="0" collapsed="false">
      <c r="A266" s="41" t="n">
        <v>46275</v>
      </c>
      <c r="B266" s="5" t="s">
        <v>820</v>
      </c>
      <c r="C266" s="45" t="s">
        <v>1214</v>
      </c>
      <c r="D266" s="5" t="s">
        <v>901</v>
      </c>
      <c r="E266" s="43" t="n">
        <v>398897</v>
      </c>
      <c r="F266" s="44" t="n">
        <f aca="false">IF(D266="Receipt",E266,-E266)</f>
        <v>398897</v>
      </c>
      <c r="G266" s="5" t="s">
        <v>821</v>
      </c>
      <c r="H266" s="29" t="n">
        <f aca="false">IFERROR(INDEX(Bank_Statement!$F$6:$F$303,MATCH(G266,Bank_Statement!$C$6:$C$303,0)),"Not in bank")</f>
        <v>398897</v>
      </c>
      <c r="I266" s="44" t="n">
        <f aca="false">IF(ISNUMBER(H266),H266-F266,"")</f>
        <v>0</v>
      </c>
      <c r="J266" s="27" t="str">
        <f aca="false">IF(NOT(ISNUMBER(H266)),"Not in bank",IF(ABS(I266)&lt;=Setup!$B$9,"Matched","Amount difference"))</f>
        <v>Matched</v>
      </c>
    </row>
    <row r="267" customFormat="false" ht="15" hidden="false" customHeight="false" outlineLevel="0" collapsed="false">
      <c r="A267" s="41" t="n">
        <v>46275</v>
      </c>
      <c r="B267" s="5" t="s">
        <v>1215</v>
      </c>
      <c r="C267" s="45" t="s">
        <v>907</v>
      </c>
      <c r="D267" s="5" t="s">
        <v>892</v>
      </c>
      <c r="E267" s="43" t="n">
        <v>6164000</v>
      </c>
      <c r="F267" s="44" t="n">
        <f aca="false">IF(D267="Receipt",E267,-E267)</f>
        <v>-6164000</v>
      </c>
      <c r="G267" s="5" t="s">
        <v>1216</v>
      </c>
      <c r="H267" s="29" t="n">
        <f aca="false">IFERROR(INDEX(Bank_Statement!$F$6:$F$303,MATCH(G267,Bank_Statement!$C$6:$C$303,0)),"Not in bank")</f>
        <v>-6164000</v>
      </c>
      <c r="I267" s="44" t="n">
        <f aca="false">IF(ISNUMBER(H267),H267-F267,"")</f>
        <v>0</v>
      </c>
      <c r="J267" s="27" t="str">
        <f aca="false">IF(NOT(ISNUMBER(H267)),"Not in bank",IF(ABS(I267)&lt;=Setup!$B$9,"Matched","Amount difference"))</f>
        <v>Matched</v>
      </c>
    </row>
    <row r="268" customFormat="false" ht="15" hidden="false" customHeight="false" outlineLevel="0" collapsed="false">
      <c r="A268" s="41" t="n">
        <v>46276</v>
      </c>
      <c r="B268" s="5" t="s">
        <v>822</v>
      </c>
      <c r="C268" s="45" t="s">
        <v>1217</v>
      </c>
      <c r="D268" s="5" t="s">
        <v>901</v>
      </c>
      <c r="E268" s="43" t="n">
        <v>129028</v>
      </c>
      <c r="F268" s="44" t="n">
        <f aca="false">IF(D268="Receipt",E268,-E268)</f>
        <v>129028</v>
      </c>
      <c r="G268" s="5" t="s">
        <v>823</v>
      </c>
      <c r="H268" s="29" t="n">
        <f aca="false">IFERROR(INDEX(Bank_Statement!$F$6:$F$303,MATCH(G268,Bank_Statement!$C$6:$C$303,0)),"Not in bank")</f>
        <v>129028</v>
      </c>
      <c r="I268" s="44" t="n">
        <f aca="false">IF(ISNUMBER(H268),H268-F268,"")</f>
        <v>0</v>
      </c>
      <c r="J268" s="27" t="str">
        <f aca="false">IF(NOT(ISNUMBER(H268)),"Not in bank",IF(ABS(I268)&lt;=Setup!$B$9,"Matched","Amount difference"))</f>
        <v>Matched</v>
      </c>
    </row>
    <row r="269" customFormat="false" ht="15" hidden="false" customHeight="false" outlineLevel="0" collapsed="false">
      <c r="A269" s="41" t="n">
        <v>46276</v>
      </c>
      <c r="B269" s="5" t="s">
        <v>824</v>
      </c>
      <c r="C269" s="45" t="s">
        <v>1218</v>
      </c>
      <c r="D269" s="5" t="s">
        <v>901</v>
      </c>
      <c r="E269" s="43" t="n">
        <v>250873</v>
      </c>
      <c r="F269" s="44" t="n">
        <f aca="false">IF(D269="Receipt",E269,-E269)</f>
        <v>250873</v>
      </c>
      <c r="G269" s="5" t="s">
        <v>825</v>
      </c>
      <c r="H269" s="29" t="n">
        <f aca="false">IFERROR(INDEX(Bank_Statement!$F$6:$F$303,MATCH(G269,Bank_Statement!$C$6:$C$303,0)),"Not in bank")</f>
        <v>250873</v>
      </c>
      <c r="I269" s="44" t="n">
        <f aca="false">IF(ISNUMBER(H269),H269-F269,"")</f>
        <v>0</v>
      </c>
      <c r="J269" s="27" t="str">
        <f aca="false">IF(NOT(ISNUMBER(H269)),"Not in bank",IF(ABS(I269)&lt;=Setup!$B$9,"Matched","Amount difference"))</f>
        <v>Matched</v>
      </c>
    </row>
    <row r="270" customFormat="false" ht="15" hidden="false" customHeight="false" outlineLevel="0" collapsed="false">
      <c r="A270" s="41" t="n">
        <v>46277</v>
      </c>
      <c r="B270" s="5" t="s">
        <v>826</v>
      </c>
      <c r="C270" s="45" t="s">
        <v>1219</v>
      </c>
      <c r="D270" s="5" t="s">
        <v>901</v>
      </c>
      <c r="E270" s="43" t="n">
        <v>305683</v>
      </c>
      <c r="F270" s="44" t="n">
        <f aca="false">IF(D270="Receipt",E270,-E270)</f>
        <v>305683</v>
      </c>
      <c r="G270" s="5" t="s">
        <v>827</v>
      </c>
      <c r="H270" s="29" t="n">
        <f aca="false">IFERROR(INDEX(Bank_Statement!$F$6:$F$303,MATCH(G270,Bank_Statement!$C$6:$C$303,0)),"Not in bank")</f>
        <v>305683</v>
      </c>
      <c r="I270" s="44" t="n">
        <f aca="false">IF(ISNUMBER(H270),H270-F270,"")</f>
        <v>0</v>
      </c>
      <c r="J270" s="27" t="str">
        <f aca="false">IF(NOT(ISNUMBER(H270)),"Not in bank",IF(ABS(I270)&lt;=Setup!$B$9,"Matched","Amount difference"))</f>
        <v>Matched</v>
      </c>
    </row>
    <row r="271" customFormat="false" ht="15" hidden="false" customHeight="false" outlineLevel="0" collapsed="false">
      <c r="A271" s="41" t="n">
        <v>46278</v>
      </c>
      <c r="B271" s="5" t="s">
        <v>828</v>
      </c>
      <c r="C271" s="45" t="s">
        <v>1220</v>
      </c>
      <c r="D271" s="5" t="s">
        <v>901</v>
      </c>
      <c r="E271" s="43" t="n">
        <v>383775</v>
      </c>
      <c r="F271" s="44" t="n">
        <f aca="false">IF(D271="Receipt",E271,-E271)</f>
        <v>383775</v>
      </c>
      <c r="G271" s="5" t="s">
        <v>829</v>
      </c>
      <c r="H271" s="29" t="n">
        <f aca="false">IFERROR(INDEX(Bank_Statement!$F$6:$F$303,MATCH(G271,Bank_Statement!$C$6:$C$303,0)),"Not in bank")</f>
        <v>383775</v>
      </c>
      <c r="I271" s="44" t="n">
        <f aca="false">IF(ISNUMBER(H271),H271-F271,"")</f>
        <v>0</v>
      </c>
      <c r="J271" s="27" t="str">
        <f aca="false">IF(NOT(ISNUMBER(H271)),"Not in bank",IF(ABS(I271)&lt;=Setup!$B$9,"Matched","Amount difference"))</f>
        <v>Matched</v>
      </c>
    </row>
    <row r="272" customFormat="false" ht="15" hidden="false" customHeight="false" outlineLevel="0" collapsed="false">
      <c r="A272" s="41" t="n">
        <v>46278</v>
      </c>
      <c r="B272" s="5" t="s">
        <v>830</v>
      </c>
      <c r="C272" s="45" t="s">
        <v>1221</v>
      </c>
      <c r="D272" s="5" t="s">
        <v>901</v>
      </c>
      <c r="E272" s="43" t="n">
        <v>159492</v>
      </c>
      <c r="F272" s="44" t="n">
        <f aca="false">IF(D272="Receipt",E272,-E272)</f>
        <v>159492</v>
      </c>
      <c r="G272" s="5" t="s">
        <v>831</v>
      </c>
      <c r="H272" s="29" t="n">
        <f aca="false">IFERROR(INDEX(Bank_Statement!$F$6:$F$303,MATCH(G272,Bank_Statement!$C$6:$C$303,0)),"Not in bank")</f>
        <v>159492</v>
      </c>
      <c r="I272" s="44" t="n">
        <f aca="false">IF(ISNUMBER(H272),H272-F272,"")</f>
        <v>0</v>
      </c>
      <c r="J272" s="27" t="str">
        <f aca="false">IF(NOT(ISNUMBER(H272)),"Not in bank",IF(ABS(I272)&lt;=Setup!$B$9,"Matched","Amount difference"))</f>
        <v>Matched</v>
      </c>
    </row>
    <row r="273" customFormat="false" ht="15" hidden="false" customHeight="false" outlineLevel="0" collapsed="false">
      <c r="A273" s="41" t="n">
        <v>46278</v>
      </c>
      <c r="B273" s="5" t="s">
        <v>832</v>
      </c>
      <c r="C273" s="45" t="s">
        <v>1222</v>
      </c>
      <c r="D273" s="5" t="s">
        <v>901</v>
      </c>
      <c r="E273" s="43" t="n">
        <v>48092</v>
      </c>
      <c r="F273" s="44" t="n">
        <f aca="false">IF(D273="Receipt",E273,-E273)</f>
        <v>48092</v>
      </c>
      <c r="G273" s="5" t="s">
        <v>833</v>
      </c>
      <c r="H273" s="29" t="n">
        <f aca="false">IFERROR(INDEX(Bank_Statement!$F$6:$F$303,MATCH(G273,Bank_Statement!$C$6:$C$303,0)),"Not in bank")</f>
        <v>48092</v>
      </c>
      <c r="I273" s="44" t="n">
        <f aca="false">IF(ISNUMBER(H273),H273-F273,"")</f>
        <v>0</v>
      </c>
      <c r="J273" s="27" t="str">
        <f aca="false">IF(NOT(ISNUMBER(H273)),"Not in bank",IF(ABS(I273)&lt;=Setup!$B$9,"Matched","Amount difference"))</f>
        <v>Matched</v>
      </c>
    </row>
    <row r="274" customFormat="false" ht="15" hidden="false" customHeight="false" outlineLevel="0" collapsed="false">
      <c r="A274" s="41" t="n">
        <v>46278</v>
      </c>
      <c r="B274" s="5" t="s">
        <v>834</v>
      </c>
      <c r="C274" s="45" t="s">
        <v>1223</v>
      </c>
      <c r="D274" s="5" t="s">
        <v>901</v>
      </c>
      <c r="E274" s="43" t="n">
        <v>499600</v>
      </c>
      <c r="F274" s="44" t="n">
        <f aca="false">IF(D274="Receipt",E274,-E274)</f>
        <v>499600</v>
      </c>
      <c r="G274" s="5" t="s">
        <v>835</v>
      </c>
      <c r="H274" s="29" t="n">
        <f aca="false">IFERROR(INDEX(Bank_Statement!$F$6:$F$303,MATCH(G274,Bank_Statement!$C$6:$C$303,0)),"Not in bank")</f>
        <v>499600</v>
      </c>
      <c r="I274" s="44" t="n">
        <f aca="false">IF(ISNUMBER(H274),H274-F274,"")</f>
        <v>0</v>
      </c>
      <c r="J274" s="27" t="str">
        <f aca="false">IF(NOT(ISNUMBER(H274)),"Not in bank",IF(ABS(I274)&lt;=Setup!$B$9,"Matched","Amount difference"))</f>
        <v>Matched</v>
      </c>
    </row>
    <row r="275" customFormat="false" ht="15" hidden="false" customHeight="false" outlineLevel="0" collapsed="false">
      <c r="A275" s="41" t="n">
        <v>46278</v>
      </c>
      <c r="B275" s="5" t="s">
        <v>836</v>
      </c>
      <c r="C275" s="45" t="s">
        <v>1224</v>
      </c>
      <c r="D275" s="5" t="s">
        <v>901</v>
      </c>
      <c r="E275" s="43" t="n">
        <v>145117</v>
      </c>
      <c r="F275" s="44" t="n">
        <f aca="false">IF(D275="Receipt",E275,-E275)</f>
        <v>145117</v>
      </c>
      <c r="G275" s="5" t="s">
        <v>837</v>
      </c>
      <c r="H275" s="29" t="n">
        <f aca="false">IFERROR(INDEX(Bank_Statement!$F$6:$F$303,MATCH(G275,Bank_Statement!$C$6:$C$303,0)),"Not in bank")</f>
        <v>145117</v>
      </c>
      <c r="I275" s="44" t="n">
        <f aca="false">IF(ISNUMBER(H275),H275-F275,"")</f>
        <v>0</v>
      </c>
      <c r="J275" s="27" t="str">
        <f aca="false">IF(NOT(ISNUMBER(H275)),"Not in bank",IF(ABS(I275)&lt;=Setup!$B$9,"Matched","Amount difference"))</f>
        <v>Matched</v>
      </c>
    </row>
    <row r="276" customFormat="false" ht="15" hidden="false" customHeight="false" outlineLevel="0" collapsed="false">
      <c r="A276" s="41" t="n">
        <v>46279</v>
      </c>
      <c r="B276" s="5" t="s">
        <v>838</v>
      </c>
      <c r="C276" s="45" t="s">
        <v>1225</v>
      </c>
      <c r="D276" s="5" t="s">
        <v>901</v>
      </c>
      <c r="E276" s="43" t="n">
        <v>141812</v>
      </c>
      <c r="F276" s="44" t="n">
        <f aca="false">IF(D276="Receipt",E276,-E276)</f>
        <v>141812</v>
      </c>
      <c r="G276" s="5" t="s">
        <v>839</v>
      </c>
      <c r="H276" s="29" t="n">
        <f aca="false">IFERROR(INDEX(Bank_Statement!$F$6:$F$303,MATCH(G276,Bank_Statement!$C$6:$C$303,0)),"Not in bank")</f>
        <v>141812</v>
      </c>
      <c r="I276" s="44" t="n">
        <f aca="false">IF(ISNUMBER(H276),H276-F276,"")</f>
        <v>0</v>
      </c>
      <c r="J276" s="27" t="str">
        <f aca="false">IF(NOT(ISNUMBER(H276)),"Not in bank",IF(ABS(I276)&lt;=Setup!$B$9,"Matched","Amount difference"))</f>
        <v>Matched</v>
      </c>
    </row>
    <row r="277" customFormat="false" ht="15" hidden="false" customHeight="false" outlineLevel="0" collapsed="false">
      <c r="A277" s="41" t="n">
        <v>46279</v>
      </c>
      <c r="B277" s="5" t="s">
        <v>1226</v>
      </c>
      <c r="C277" s="45" t="s">
        <v>998</v>
      </c>
      <c r="D277" s="5" t="s">
        <v>892</v>
      </c>
      <c r="E277" s="43" t="n">
        <v>41235</v>
      </c>
      <c r="F277" s="44" t="n">
        <f aca="false">IF(D277="Receipt",E277,-E277)</f>
        <v>-41235</v>
      </c>
      <c r="G277" s="5" t="s">
        <v>1227</v>
      </c>
      <c r="H277" s="29" t="n">
        <f aca="false">IFERROR(INDEX(Bank_Statement!$F$6:$F$303,MATCH(G277,Bank_Statement!$C$6:$C$303,0)),"Not in bank")</f>
        <v>-41235</v>
      </c>
      <c r="I277" s="44" t="n">
        <f aca="false">IF(ISNUMBER(H277),H277-F277,"")</f>
        <v>0</v>
      </c>
      <c r="J277" s="27" t="str">
        <f aca="false">IF(NOT(ISNUMBER(H277)),"Not in bank",IF(ABS(I277)&lt;=Setup!$B$9,"Matched","Amount difference"))</f>
        <v>Matched</v>
      </c>
    </row>
    <row r="278" customFormat="false" ht="15" hidden="false" customHeight="false" outlineLevel="0" collapsed="false">
      <c r="A278" s="41" t="n">
        <v>46280</v>
      </c>
      <c r="B278" s="5" t="s">
        <v>1228</v>
      </c>
      <c r="C278" s="45" t="s">
        <v>928</v>
      </c>
      <c r="D278" s="5" t="s">
        <v>892</v>
      </c>
      <c r="E278" s="43" t="n">
        <v>161966</v>
      </c>
      <c r="F278" s="44" t="n">
        <f aca="false">IF(D278="Receipt",E278,-E278)</f>
        <v>-161966</v>
      </c>
      <c r="G278" s="5" t="s">
        <v>1229</v>
      </c>
      <c r="H278" s="29" t="n">
        <f aca="false">IFERROR(INDEX(Bank_Statement!$F$6:$F$303,MATCH(G278,Bank_Statement!$C$6:$C$303,0)),"Not in bank")</f>
        <v>-161966</v>
      </c>
      <c r="I278" s="44" t="n">
        <f aca="false">IF(ISNUMBER(H278),H278-F278,"")</f>
        <v>0</v>
      </c>
      <c r="J278" s="27" t="str">
        <f aca="false">IF(NOT(ISNUMBER(H278)),"Not in bank",IF(ABS(I278)&lt;=Setup!$B$9,"Matched","Amount difference"))</f>
        <v>Matched</v>
      </c>
    </row>
    <row r="279" customFormat="false" ht="15" hidden="false" customHeight="false" outlineLevel="0" collapsed="false">
      <c r="A279" s="41" t="n">
        <v>46281</v>
      </c>
      <c r="B279" s="5" t="s">
        <v>840</v>
      </c>
      <c r="C279" s="45" t="s">
        <v>1230</v>
      </c>
      <c r="D279" s="5" t="s">
        <v>901</v>
      </c>
      <c r="E279" s="43" t="n">
        <v>304912</v>
      </c>
      <c r="F279" s="44" t="n">
        <f aca="false">IF(D279="Receipt",E279,-E279)</f>
        <v>304912</v>
      </c>
      <c r="G279" s="5" t="s">
        <v>841</v>
      </c>
      <c r="H279" s="29" t="n">
        <f aca="false">IFERROR(INDEX(Bank_Statement!$F$6:$F$303,MATCH(G279,Bank_Statement!$C$6:$C$303,0)),"Not in bank")</f>
        <v>304912</v>
      </c>
      <c r="I279" s="44" t="n">
        <f aca="false">IF(ISNUMBER(H279),H279-F279,"")</f>
        <v>0</v>
      </c>
      <c r="J279" s="27" t="str">
        <f aca="false">IF(NOT(ISNUMBER(H279)),"Not in bank",IF(ABS(I279)&lt;=Setup!$B$9,"Matched","Amount difference"))</f>
        <v>Matched</v>
      </c>
    </row>
    <row r="280" customFormat="false" ht="15" hidden="false" customHeight="false" outlineLevel="0" collapsed="false">
      <c r="A280" s="41" t="n">
        <v>46282</v>
      </c>
      <c r="B280" s="5" t="s">
        <v>842</v>
      </c>
      <c r="C280" s="45" t="s">
        <v>1231</v>
      </c>
      <c r="D280" s="5" t="s">
        <v>901</v>
      </c>
      <c r="E280" s="43" t="n">
        <v>199451</v>
      </c>
      <c r="F280" s="44" t="n">
        <f aca="false">IF(D280="Receipt",E280,-E280)</f>
        <v>199451</v>
      </c>
      <c r="G280" s="5" t="s">
        <v>843</v>
      </c>
      <c r="H280" s="29" t="n">
        <f aca="false">IFERROR(INDEX(Bank_Statement!$F$6:$F$303,MATCH(G280,Bank_Statement!$C$6:$C$303,0)),"Not in bank")</f>
        <v>199451</v>
      </c>
      <c r="I280" s="44" t="n">
        <f aca="false">IF(ISNUMBER(H280),H280-F280,"")</f>
        <v>0</v>
      </c>
      <c r="J280" s="27" t="str">
        <f aca="false">IF(NOT(ISNUMBER(H280)),"Not in bank",IF(ABS(I280)&lt;=Setup!$B$9,"Matched","Amount difference"))</f>
        <v>Matched</v>
      </c>
    </row>
    <row r="281" customFormat="false" ht="15" hidden="false" customHeight="false" outlineLevel="0" collapsed="false">
      <c r="A281" s="41" t="n">
        <v>46283</v>
      </c>
      <c r="B281" s="5" t="s">
        <v>844</v>
      </c>
      <c r="C281" s="45" t="s">
        <v>1191</v>
      </c>
      <c r="D281" s="5" t="s">
        <v>901</v>
      </c>
      <c r="E281" s="43" t="n">
        <v>165778</v>
      </c>
      <c r="F281" s="44" t="n">
        <f aca="false">IF(D281="Receipt",E281,-E281)</f>
        <v>165778</v>
      </c>
      <c r="G281" s="5" t="s">
        <v>845</v>
      </c>
      <c r="H281" s="29" t="n">
        <f aca="false">IFERROR(INDEX(Bank_Statement!$F$6:$F$303,MATCH(G281,Bank_Statement!$C$6:$C$303,0)),"Not in bank")</f>
        <v>165778</v>
      </c>
      <c r="I281" s="44" t="n">
        <f aca="false">IF(ISNUMBER(H281),H281-F281,"")</f>
        <v>0</v>
      </c>
      <c r="J281" s="27" t="str">
        <f aca="false">IF(NOT(ISNUMBER(H281)),"Not in bank",IF(ABS(I281)&lt;=Setup!$B$9,"Matched","Amount difference"))</f>
        <v>Matched</v>
      </c>
    </row>
    <row r="282" customFormat="false" ht="15" hidden="false" customHeight="false" outlineLevel="0" collapsed="false">
      <c r="A282" s="41" t="n">
        <v>46284</v>
      </c>
      <c r="B282" s="5" t="s">
        <v>846</v>
      </c>
      <c r="C282" s="45" t="s">
        <v>1232</v>
      </c>
      <c r="D282" s="5" t="s">
        <v>901</v>
      </c>
      <c r="E282" s="43" t="n">
        <v>87471</v>
      </c>
      <c r="F282" s="44" t="n">
        <f aca="false">IF(D282="Receipt",E282,-E282)</f>
        <v>87471</v>
      </c>
      <c r="G282" s="5" t="s">
        <v>847</v>
      </c>
      <c r="H282" s="29" t="n">
        <f aca="false">IFERROR(INDEX(Bank_Statement!$F$6:$F$303,MATCH(G282,Bank_Statement!$C$6:$C$303,0)),"Not in bank")</f>
        <v>87471</v>
      </c>
      <c r="I282" s="44" t="n">
        <f aca="false">IF(ISNUMBER(H282),H282-F282,"")</f>
        <v>0</v>
      </c>
      <c r="J282" s="27" t="str">
        <f aca="false">IF(NOT(ISNUMBER(H282)),"Not in bank",IF(ABS(I282)&lt;=Setup!$B$9,"Matched","Amount difference"))</f>
        <v>Matched</v>
      </c>
    </row>
    <row r="283" customFormat="false" ht="15" hidden="false" customHeight="false" outlineLevel="0" collapsed="false">
      <c r="A283" s="41" t="n">
        <v>46284</v>
      </c>
      <c r="B283" s="5" t="s">
        <v>848</v>
      </c>
      <c r="C283" s="45" t="s">
        <v>1233</v>
      </c>
      <c r="D283" s="5" t="s">
        <v>901</v>
      </c>
      <c r="E283" s="43" t="n">
        <v>79621</v>
      </c>
      <c r="F283" s="44" t="n">
        <f aca="false">IF(D283="Receipt",E283,-E283)</f>
        <v>79621</v>
      </c>
      <c r="G283" s="5" t="s">
        <v>849</v>
      </c>
      <c r="H283" s="29" t="n">
        <f aca="false">IFERROR(INDEX(Bank_Statement!$F$6:$F$303,MATCH(G283,Bank_Statement!$C$6:$C$303,0)),"Not in bank")</f>
        <v>79621</v>
      </c>
      <c r="I283" s="44" t="n">
        <f aca="false">IF(ISNUMBER(H283),H283-F283,"")</f>
        <v>0</v>
      </c>
      <c r="J283" s="27" t="str">
        <f aca="false">IF(NOT(ISNUMBER(H283)),"Not in bank",IF(ABS(I283)&lt;=Setup!$B$9,"Matched","Amount difference"))</f>
        <v>Matched</v>
      </c>
    </row>
    <row r="284" customFormat="false" ht="15" hidden="false" customHeight="false" outlineLevel="0" collapsed="false">
      <c r="A284" s="41" t="n">
        <v>46285</v>
      </c>
      <c r="B284" s="5" t="s">
        <v>850</v>
      </c>
      <c r="C284" s="45" t="s">
        <v>1234</v>
      </c>
      <c r="D284" s="5" t="s">
        <v>901</v>
      </c>
      <c r="E284" s="43" t="n">
        <v>85667</v>
      </c>
      <c r="F284" s="44" t="n">
        <f aca="false">IF(D284="Receipt",E284,-E284)</f>
        <v>85667</v>
      </c>
      <c r="G284" s="5" t="s">
        <v>851</v>
      </c>
      <c r="H284" s="29" t="n">
        <f aca="false">IFERROR(INDEX(Bank_Statement!$F$6:$F$303,MATCH(G284,Bank_Statement!$C$6:$C$303,0)),"Not in bank")</f>
        <v>85667</v>
      </c>
      <c r="I284" s="44" t="n">
        <f aca="false">IF(ISNUMBER(H284),H284-F284,"")</f>
        <v>0</v>
      </c>
      <c r="J284" s="27" t="str">
        <f aca="false">IF(NOT(ISNUMBER(H284)),"Not in bank",IF(ABS(I284)&lt;=Setup!$B$9,"Matched","Amount difference"))</f>
        <v>Matched</v>
      </c>
    </row>
    <row r="285" customFormat="false" ht="15" hidden="false" customHeight="false" outlineLevel="0" collapsed="false">
      <c r="A285" s="41" t="n">
        <v>46285</v>
      </c>
      <c r="B285" s="5" t="s">
        <v>852</v>
      </c>
      <c r="C285" s="45" t="s">
        <v>1235</v>
      </c>
      <c r="D285" s="5" t="s">
        <v>901</v>
      </c>
      <c r="E285" s="43" t="n">
        <v>362750</v>
      </c>
      <c r="F285" s="44" t="n">
        <f aca="false">IF(D285="Receipt",E285,-E285)</f>
        <v>362750</v>
      </c>
      <c r="G285" s="5" t="s">
        <v>853</v>
      </c>
      <c r="H285" s="29" t="n">
        <f aca="false">IFERROR(INDEX(Bank_Statement!$F$6:$F$303,MATCH(G285,Bank_Statement!$C$6:$C$303,0)),"Not in bank")</f>
        <v>362750</v>
      </c>
      <c r="I285" s="44" t="n">
        <f aca="false">IF(ISNUMBER(H285),H285-F285,"")</f>
        <v>0</v>
      </c>
      <c r="J285" s="27" t="str">
        <f aca="false">IF(NOT(ISNUMBER(H285)),"Not in bank",IF(ABS(I285)&lt;=Setup!$B$9,"Matched","Amount difference"))</f>
        <v>Matched</v>
      </c>
    </row>
    <row r="286" customFormat="false" ht="15" hidden="false" customHeight="false" outlineLevel="0" collapsed="false">
      <c r="A286" s="41" t="n">
        <v>46285</v>
      </c>
      <c r="B286" s="5" t="s">
        <v>1236</v>
      </c>
      <c r="C286" s="45" t="s">
        <v>924</v>
      </c>
      <c r="D286" s="5" t="s">
        <v>892</v>
      </c>
      <c r="E286" s="43" t="n">
        <v>210000</v>
      </c>
      <c r="F286" s="44" t="n">
        <f aca="false">IF(D286="Receipt",E286,-E286)</f>
        <v>-210000</v>
      </c>
      <c r="G286" s="5" t="s">
        <v>1237</v>
      </c>
      <c r="H286" s="29" t="n">
        <f aca="false">IFERROR(INDEX(Bank_Statement!$F$6:$F$303,MATCH(G286,Bank_Statement!$C$6:$C$303,0)),"Not in bank")</f>
        <v>-210000</v>
      </c>
      <c r="I286" s="44" t="n">
        <f aca="false">IF(ISNUMBER(H286),H286-F286,"")</f>
        <v>0</v>
      </c>
      <c r="J286" s="27" t="str">
        <f aca="false">IF(NOT(ISNUMBER(H286)),"Not in bank",IF(ABS(I286)&lt;=Setup!$B$9,"Matched","Amount difference"))</f>
        <v>Matched</v>
      </c>
    </row>
    <row r="287" customFormat="false" ht="15" hidden="false" customHeight="false" outlineLevel="0" collapsed="false">
      <c r="A287" s="41" t="n">
        <v>46286</v>
      </c>
      <c r="B287" s="5" t="s">
        <v>854</v>
      </c>
      <c r="C287" s="45" t="s">
        <v>1238</v>
      </c>
      <c r="D287" s="5" t="s">
        <v>901</v>
      </c>
      <c r="E287" s="43" t="n">
        <v>46620</v>
      </c>
      <c r="F287" s="44" t="n">
        <f aca="false">IF(D287="Receipt",E287,-E287)</f>
        <v>46620</v>
      </c>
      <c r="G287" s="5" t="s">
        <v>855</v>
      </c>
      <c r="H287" s="29" t="n">
        <f aca="false">IFERROR(INDEX(Bank_Statement!$F$6:$F$303,MATCH(G287,Bank_Statement!$C$6:$C$303,0)),"Not in bank")</f>
        <v>46620</v>
      </c>
      <c r="I287" s="44" t="n">
        <f aca="false">IF(ISNUMBER(H287),H287-F287,"")</f>
        <v>0</v>
      </c>
      <c r="J287" s="27" t="str">
        <f aca="false">IF(NOT(ISNUMBER(H287)),"Not in bank",IF(ABS(I287)&lt;=Setup!$B$9,"Matched","Amount difference"))</f>
        <v>Matched</v>
      </c>
    </row>
    <row r="288" customFormat="false" ht="15" hidden="false" customHeight="false" outlineLevel="0" collapsed="false">
      <c r="A288" s="41" t="n">
        <v>46288</v>
      </c>
      <c r="B288" s="5" t="s">
        <v>856</v>
      </c>
      <c r="C288" s="45" t="s">
        <v>1239</v>
      </c>
      <c r="D288" s="5" t="s">
        <v>901</v>
      </c>
      <c r="E288" s="43" t="n">
        <v>264630</v>
      </c>
      <c r="F288" s="44" t="n">
        <f aca="false">IF(D288="Receipt",E288,-E288)</f>
        <v>264630</v>
      </c>
      <c r="G288" s="5" t="s">
        <v>857</v>
      </c>
      <c r="H288" s="29" t="n">
        <f aca="false">IFERROR(INDEX(Bank_Statement!$F$6:$F$303,MATCH(G288,Bank_Statement!$C$6:$C$303,0)),"Not in bank")</f>
        <v>264630</v>
      </c>
      <c r="I288" s="44" t="n">
        <f aca="false">IF(ISNUMBER(H288),H288-F288,"")</f>
        <v>0</v>
      </c>
      <c r="J288" s="27" t="str">
        <f aca="false">IF(NOT(ISNUMBER(H288)),"Not in bank",IF(ABS(I288)&lt;=Setup!$B$9,"Matched","Amount difference"))</f>
        <v>Matched</v>
      </c>
    </row>
    <row r="289" customFormat="false" ht="15" hidden="false" customHeight="false" outlineLevel="0" collapsed="false">
      <c r="A289" s="41" t="n">
        <v>46288</v>
      </c>
      <c r="B289" s="5" t="s">
        <v>858</v>
      </c>
      <c r="C289" s="45" t="s">
        <v>1240</v>
      </c>
      <c r="D289" s="5" t="s">
        <v>901</v>
      </c>
      <c r="E289" s="43" t="n">
        <v>308223</v>
      </c>
      <c r="F289" s="44" t="n">
        <f aca="false">IF(D289="Receipt",E289,-E289)</f>
        <v>308223</v>
      </c>
      <c r="G289" s="5" t="s">
        <v>859</v>
      </c>
      <c r="H289" s="29" t="n">
        <f aca="false">IFERROR(INDEX(Bank_Statement!$F$6:$F$303,MATCH(G289,Bank_Statement!$C$6:$C$303,0)),"Not in bank")</f>
        <v>308223</v>
      </c>
      <c r="I289" s="44" t="n">
        <f aca="false">IF(ISNUMBER(H289),H289-F289,"")</f>
        <v>0</v>
      </c>
      <c r="J289" s="27" t="str">
        <f aca="false">IF(NOT(ISNUMBER(H289)),"Not in bank",IF(ABS(I289)&lt;=Setup!$B$9,"Matched","Amount difference"))</f>
        <v>Matched</v>
      </c>
    </row>
    <row r="290" customFormat="false" ht="15" hidden="false" customHeight="false" outlineLevel="0" collapsed="false">
      <c r="A290" s="41" t="n">
        <v>46288</v>
      </c>
      <c r="B290" s="5" t="s">
        <v>860</v>
      </c>
      <c r="C290" s="45" t="s">
        <v>1241</v>
      </c>
      <c r="D290" s="5" t="s">
        <v>901</v>
      </c>
      <c r="E290" s="43" t="n">
        <v>283959</v>
      </c>
      <c r="F290" s="44" t="n">
        <f aca="false">IF(D290="Receipt",E290,-E290)</f>
        <v>283959</v>
      </c>
      <c r="G290" s="5" t="s">
        <v>861</v>
      </c>
      <c r="H290" s="29" t="n">
        <f aca="false">IFERROR(INDEX(Bank_Statement!$F$6:$F$303,MATCH(G290,Bank_Statement!$C$6:$C$303,0)),"Not in bank")</f>
        <v>283959</v>
      </c>
      <c r="I290" s="44" t="n">
        <f aca="false">IF(ISNUMBER(H290),H290-F290,"")</f>
        <v>0</v>
      </c>
      <c r="J290" s="27" t="str">
        <f aca="false">IF(NOT(ISNUMBER(H290)),"Not in bank",IF(ABS(I290)&lt;=Setup!$B$9,"Matched","Amount difference"))</f>
        <v>Matched</v>
      </c>
    </row>
    <row r="291" customFormat="false" ht="15" hidden="false" customHeight="false" outlineLevel="0" collapsed="false">
      <c r="A291" s="41" t="n">
        <v>46289</v>
      </c>
      <c r="B291" s="5" t="s">
        <v>862</v>
      </c>
      <c r="C291" s="45" t="s">
        <v>1242</v>
      </c>
      <c r="D291" s="5" t="s">
        <v>901</v>
      </c>
      <c r="E291" s="43" t="n">
        <v>395695</v>
      </c>
      <c r="F291" s="44" t="n">
        <f aca="false">IF(D291="Receipt",E291,-E291)</f>
        <v>395695</v>
      </c>
      <c r="G291" s="5" t="s">
        <v>863</v>
      </c>
      <c r="H291" s="29" t="n">
        <f aca="false">IFERROR(INDEX(Bank_Statement!$F$6:$F$303,MATCH(G291,Bank_Statement!$C$6:$C$303,0)),"Not in bank")</f>
        <v>395695</v>
      </c>
      <c r="I291" s="44" t="n">
        <f aca="false">IF(ISNUMBER(H291),H291-F291,"")</f>
        <v>0</v>
      </c>
      <c r="J291" s="27" t="str">
        <f aca="false">IF(NOT(ISNUMBER(H291)),"Not in bank",IF(ABS(I291)&lt;=Setup!$B$9,"Matched","Amount difference"))</f>
        <v>Matched</v>
      </c>
    </row>
    <row r="292" customFormat="false" ht="15" hidden="false" customHeight="false" outlineLevel="0" collapsed="false">
      <c r="A292" s="41" t="n">
        <v>46289</v>
      </c>
      <c r="B292" s="5" t="s">
        <v>1243</v>
      </c>
      <c r="C292" s="45" t="s">
        <v>1151</v>
      </c>
      <c r="D292" s="5" t="s">
        <v>892</v>
      </c>
      <c r="E292" s="43" t="n">
        <v>20344</v>
      </c>
      <c r="F292" s="44" t="n">
        <f aca="false">IF(D292="Receipt",E292,-E292)</f>
        <v>-20344</v>
      </c>
      <c r="G292" s="5" t="s">
        <v>1244</v>
      </c>
      <c r="H292" s="29" t="n">
        <f aca="false">IFERROR(INDEX(Bank_Statement!$F$6:$F$303,MATCH(G292,Bank_Statement!$C$6:$C$303,0)),"Not in bank")</f>
        <v>-20344</v>
      </c>
      <c r="I292" s="44" t="n">
        <f aca="false">IF(ISNUMBER(H292),H292-F292,"")</f>
        <v>0</v>
      </c>
      <c r="J292" s="27" t="str">
        <f aca="false">IF(NOT(ISNUMBER(H292)),"Not in bank",IF(ABS(I292)&lt;=Setup!$B$9,"Matched","Amount difference"))</f>
        <v>Matched</v>
      </c>
    </row>
    <row r="293" customFormat="false" ht="15" hidden="false" customHeight="false" outlineLevel="0" collapsed="false">
      <c r="A293" s="41" t="n">
        <v>46289</v>
      </c>
      <c r="B293" s="5" t="s">
        <v>1245</v>
      </c>
      <c r="C293" s="45" t="s">
        <v>944</v>
      </c>
      <c r="D293" s="5" t="s">
        <v>892</v>
      </c>
      <c r="E293" s="43" t="n">
        <v>64500</v>
      </c>
      <c r="F293" s="44" t="n">
        <f aca="false">IF(D293="Receipt",E293,-E293)</f>
        <v>-64500</v>
      </c>
      <c r="G293" s="5" t="s">
        <v>1246</v>
      </c>
      <c r="H293" s="29" t="str">
        <f aca="false">IFERROR(INDEX(Bank_Statement!$F$6:$F$303,MATCH(G293,Bank_Statement!$C$6:$C$303,0)),"Not in bank")</f>
        <v>Not in bank</v>
      </c>
      <c r="I293" s="44" t="str">
        <f aca="false">IF(ISNUMBER(H293),H293-F293,"")</f>
        <v/>
      </c>
      <c r="J293" s="27" t="str">
        <f aca="false">IF(NOT(ISNUMBER(H293)),"Not in bank",IF(ABS(I293)&lt;=Setup!$B$9,"Matched","Amount difference"))</f>
        <v>Not in bank</v>
      </c>
    </row>
    <row r="294" customFormat="false" ht="15" hidden="false" customHeight="false" outlineLevel="0" collapsed="false">
      <c r="A294" s="41" t="n">
        <v>46289</v>
      </c>
      <c r="B294" s="5" t="s">
        <v>1247</v>
      </c>
      <c r="C294" s="45" t="s">
        <v>907</v>
      </c>
      <c r="D294" s="5" t="s">
        <v>892</v>
      </c>
      <c r="E294" s="43" t="n">
        <v>3997000</v>
      </c>
      <c r="F294" s="44" t="n">
        <f aca="false">IF(D294="Receipt",E294,-E294)</f>
        <v>-3997000</v>
      </c>
      <c r="G294" s="5" t="s">
        <v>1248</v>
      </c>
      <c r="H294" s="29" t="n">
        <f aca="false">IFERROR(INDEX(Bank_Statement!$F$6:$F$303,MATCH(G294,Bank_Statement!$C$6:$C$303,0)),"Not in bank")</f>
        <v>-3997000</v>
      </c>
      <c r="I294" s="44" t="n">
        <f aca="false">IF(ISNUMBER(H294),H294-F294,"")</f>
        <v>0</v>
      </c>
      <c r="J294" s="27" t="str">
        <f aca="false">IF(NOT(ISNUMBER(H294)),"Not in bank",IF(ABS(I294)&lt;=Setup!$B$9,"Matched","Amount difference"))</f>
        <v>Matched</v>
      </c>
    </row>
    <row r="295" customFormat="false" ht="15" hidden="false" customHeight="false" outlineLevel="0" collapsed="false">
      <c r="A295" s="41" t="n">
        <v>46290</v>
      </c>
      <c r="B295" s="5" t="s">
        <v>864</v>
      </c>
      <c r="C295" s="45" t="s">
        <v>1249</v>
      </c>
      <c r="D295" s="5" t="s">
        <v>901</v>
      </c>
      <c r="E295" s="43" t="n">
        <v>79857</v>
      </c>
      <c r="F295" s="44" t="n">
        <f aca="false">IF(D295="Receipt",E295,-E295)</f>
        <v>79857</v>
      </c>
      <c r="G295" s="5" t="s">
        <v>865</v>
      </c>
      <c r="H295" s="29" t="n">
        <f aca="false">IFERROR(INDEX(Bank_Statement!$F$6:$F$303,MATCH(G295,Bank_Statement!$C$6:$C$303,0)),"Not in bank")</f>
        <v>79857</v>
      </c>
      <c r="I295" s="44" t="n">
        <f aca="false">IF(ISNUMBER(H295),H295-F295,"")</f>
        <v>0</v>
      </c>
      <c r="J295" s="27" t="str">
        <f aca="false">IF(NOT(ISNUMBER(H295)),"Not in bank",IF(ABS(I295)&lt;=Setup!$B$9,"Matched","Amount difference"))</f>
        <v>Matched</v>
      </c>
    </row>
    <row r="296" customFormat="false" ht="15" hidden="false" customHeight="false" outlineLevel="0" collapsed="false">
      <c r="A296" s="41" t="n">
        <v>46290</v>
      </c>
      <c r="B296" s="5" t="s">
        <v>866</v>
      </c>
      <c r="C296" s="45" t="s">
        <v>1250</v>
      </c>
      <c r="D296" s="5" t="s">
        <v>901</v>
      </c>
      <c r="E296" s="43" t="n">
        <v>397096</v>
      </c>
      <c r="F296" s="44" t="n">
        <f aca="false">IF(D296="Receipt",E296,-E296)</f>
        <v>397096</v>
      </c>
      <c r="G296" s="5" t="s">
        <v>867</v>
      </c>
      <c r="H296" s="29" t="n">
        <f aca="false">IFERROR(INDEX(Bank_Statement!$F$6:$F$303,MATCH(G296,Bank_Statement!$C$6:$C$303,0)),"Not in bank")</f>
        <v>397096</v>
      </c>
      <c r="I296" s="44" t="n">
        <f aca="false">IF(ISNUMBER(H296),H296-F296,"")</f>
        <v>0</v>
      </c>
      <c r="J296" s="27" t="str">
        <f aca="false">IF(NOT(ISNUMBER(H296)),"Not in bank",IF(ABS(I296)&lt;=Setup!$B$9,"Matched","Amount difference"))</f>
        <v>Matched</v>
      </c>
    </row>
    <row r="297" customFormat="false" ht="15" hidden="false" customHeight="false" outlineLevel="0" collapsed="false">
      <c r="A297" s="41" t="n">
        <v>46291</v>
      </c>
      <c r="B297" s="5" t="s">
        <v>868</v>
      </c>
      <c r="C297" s="45" t="s">
        <v>1251</v>
      </c>
      <c r="D297" s="5" t="s">
        <v>901</v>
      </c>
      <c r="E297" s="43" t="n">
        <v>214287</v>
      </c>
      <c r="F297" s="44" t="n">
        <f aca="false">IF(D297="Receipt",E297,-E297)</f>
        <v>214287</v>
      </c>
      <c r="G297" s="5" t="s">
        <v>869</v>
      </c>
      <c r="H297" s="29" t="n">
        <f aca="false">IFERROR(INDEX(Bank_Statement!$F$6:$F$303,MATCH(G297,Bank_Statement!$C$6:$C$303,0)),"Not in bank")</f>
        <v>214287</v>
      </c>
      <c r="I297" s="44" t="n">
        <f aca="false">IF(ISNUMBER(H297),H297-F297,"")</f>
        <v>0</v>
      </c>
      <c r="J297" s="27" t="str">
        <f aca="false">IF(NOT(ISNUMBER(H297)),"Not in bank",IF(ABS(I297)&lt;=Setup!$B$9,"Matched","Amount difference"))</f>
        <v>Matched</v>
      </c>
    </row>
    <row r="298" customFormat="false" ht="15" hidden="false" customHeight="false" outlineLevel="0" collapsed="false">
      <c r="A298" s="41" t="n">
        <v>46291</v>
      </c>
      <c r="B298" s="5" t="s">
        <v>870</v>
      </c>
      <c r="C298" s="45" t="s">
        <v>1217</v>
      </c>
      <c r="D298" s="5" t="s">
        <v>901</v>
      </c>
      <c r="E298" s="43" t="n">
        <v>103664</v>
      </c>
      <c r="F298" s="44" t="n">
        <f aca="false">IF(D298="Receipt",E298,-E298)</f>
        <v>103664</v>
      </c>
      <c r="G298" s="5" t="s">
        <v>871</v>
      </c>
      <c r="H298" s="29" t="n">
        <f aca="false">IFERROR(INDEX(Bank_Statement!$F$6:$F$303,MATCH(G298,Bank_Statement!$C$6:$C$303,0)),"Not in bank")</f>
        <v>103664</v>
      </c>
      <c r="I298" s="44" t="n">
        <f aca="false">IF(ISNUMBER(H298),H298-F298,"")</f>
        <v>0</v>
      </c>
      <c r="J298" s="27" t="str">
        <f aca="false">IF(NOT(ISNUMBER(H298)),"Not in bank",IF(ABS(I298)&lt;=Setup!$B$9,"Matched","Amount difference"))</f>
        <v>Matched</v>
      </c>
    </row>
    <row r="299" customFormat="false" ht="15" hidden="false" customHeight="false" outlineLevel="0" collapsed="false">
      <c r="A299" s="41" t="n">
        <v>46291</v>
      </c>
      <c r="B299" s="5" t="s">
        <v>1252</v>
      </c>
      <c r="C299" s="45" t="s">
        <v>998</v>
      </c>
      <c r="D299" s="5" t="s">
        <v>892</v>
      </c>
      <c r="E299" s="43" t="n">
        <v>38200</v>
      </c>
      <c r="F299" s="44" t="n">
        <f aca="false">IF(D299="Receipt",E299,-E299)</f>
        <v>-38200</v>
      </c>
      <c r="G299" s="5" t="s">
        <v>1253</v>
      </c>
      <c r="H299" s="29" t="str">
        <f aca="false">IFERROR(INDEX(Bank_Statement!$F$6:$F$303,MATCH(G299,Bank_Statement!$C$6:$C$303,0)),"Not in bank")</f>
        <v>Not in bank</v>
      </c>
      <c r="I299" s="44" t="str">
        <f aca="false">IF(ISNUMBER(H299),H299-F299,"")</f>
        <v/>
      </c>
      <c r="J299" s="27" t="str">
        <f aca="false">IF(NOT(ISNUMBER(H299)),"Not in bank",IF(ABS(I299)&lt;=Setup!$B$9,"Matched","Amount difference"))</f>
        <v>Not in bank</v>
      </c>
    </row>
    <row r="300" customFormat="false" ht="15" hidden="false" customHeight="false" outlineLevel="0" collapsed="false">
      <c r="A300" s="41" t="n">
        <v>46292</v>
      </c>
      <c r="B300" s="5" t="s">
        <v>872</v>
      </c>
      <c r="C300" s="45" t="s">
        <v>1213</v>
      </c>
      <c r="D300" s="5" t="s">
        <v>901</v>
      </c>
      <c r="E300" s="43" t="n">
        <v>124765</v>
      </c>
      <c r="F300" s="44" t="n">
        <f aca="false">IF(D300="Receipt",E300,-E300)</f>
        <v>124765</v>
      </c>
      <c r="G300" s="5" t="s">
        <v>873</v>
      </c>
      <c r="H300" s="29" t="n">
        <f aca="false">IFERROR(INDEX(Bank_Statement!$F$6:$F$303,MATCH(G300,Bank_Statement!$C$6:$C$303,0)),"Not in bank")</f>
        <v>124765</v>
      </c>
      <c r="I300" s="44" t="n">
        <f aca="false">IF(ISNUMBER(H300),H300-F300,"")</f>
        <v>0</v>
      </c>
      <c r="J300" s="27" t="str">
        <f aca="false">IF(NOT(ISNUMBER(H300)),"Not in bank",IF(ABS(I300)&lt;=Setup!$B$9,"Matched","Amount difference"))</f>
        <v>Matched</v>
      </c>
    </row>
    <row r="301" customFormat="false" ht="15" hidden="false" customHeight="false" outlineLevel="0" collapsed="false">
      <c r="A301" s="41" t="n">
        <v>46293</v>
      </c>
      <c r="B301" s="5" t="s">
        <v>874</v>
      </c>
      <c r="C301" s="45" t="s">
        <v>1222</v>
      </c>
      <c r="D301" s="5" t="s">
        <v>901</v>
      </c>
      <c r="E301" s="43" t="n">
        <v>24471</v>
      </c>
      <c r="F301" s="44" t="n">
        <f aca="false">IF(D301="Receipt",E301,-E301)</f>
        <v>24471</v>
      </c>
      <c r="G301" s="5" t="s">
        <v>875</v>
      </c>
      <c r="H301" s="29" t="n">
        <f aca="false">IFERROR(INDEX(Bank_Statement!$F$6:$F$303,MATCH(G301,Bank_Statement!$C$6:$C$303,0)),"Not in bank")</f>
        <v>24471</v>
      </c>
      <c r="I301" s="44" t="n">
        <f aca="false">IF(ISNUMBER(H301),H301-F301,"")</f>
        <v>0</v>
      </c>
      <c r="J301" s="27" t="str">
        <f aca="false">IF(NOT(ISNUMBER(H301)),"Not in bank",IF(ABS(I301)&lt;=Setup!$B$9,"Matched","Amount difference"))</f>
        <v>Matched</v>
      </c>
    </row>
    <row r="302" customFormat="false" ht="15" hidden="false" customHeight="false" outlineLevel="0" collapsed="false">
      <c r="A302" s="41" t="n">
        <v>46294</v>
      </c>
      <c r="B302" s="5" t="s">
        <v>1254</v>
      </c>
      <c r="C302" s="45" t="s">
        <v>931</v>
      </c>
      <c r="D302" s="5" t="s">
        <v>892</v>
      </c>
      <c r="E302" s="43" t="n">
        <v>91000</v>
      </c>
      <c r="F302" s="44" t="n">
        <f aca="false">IF(D302="Receipt",E302,-E302)</f>
        <v>-91000</v>
      </c>
      <c r="G302" s="5" t="s">
        <v>1255</v>
      </c>
      <c r="H302" s="29" t="str">
        <f aca="false">IFERROR(INDEX(Bank_Statement!$F$6:$F$303,MATCH(G302,Bank_Statement!$C$6:$C$303,0)),"Not in bank")</f>
        <v>Not in bank</v>
      </c>
      <c r="I302" s="44" t="str">
        <f aca="false">IF(ISNUMBER(H302),H302-F302,"")</f>
        <v/>
      </c>
      <c r="J302" s="27" t="str">
        <f aca="false">IF(NOT(ISNUMBER(H302)),"Not in bank",IF(ABS(I302)&lt;=Setup!$B$9,"Matched","Amount difference"))</f>
        <v>Not in bank</v>
      </c>
    </row>
    <row r="303" customFormat="false" ht="15" hidden="false" customHeight="false" outlineLevel="0" collapsed="false">
      <c r="A303" s="41" t="n">
        <v>46295</v>
      </c>
      <c r="B303" s="5" t="s">
        <v>876</v>
      </c>
      <c r="C303" s="45" t="s">
        <v>1256</v>
      </c>
      <c r="D303" s="5" t="s">
        <v>901</v>
      </c>
      <c r="E303" s="43" t="n">
        <v>154256</v>
      </c>
      <c r="F303" s="44" t="n">
        <f aca="false">IF(D303="Receipt",E303,-E303)</f>
        <v>154256</v>
      </c>
      <c r="G303" s="5" t="s">
        <v>877</v>
      </c>
      <c r="H303" s="29" t="str">
        <f aca="false">IFERROR(INDEX(Bank_Statement!$F$6:$F$303,MATCH(G303,Bank_Statement!$C$6:$C$303,0)),"Not in bank")</f>
        <v>Not in bank</v>
      </c>
      <c r="I303" s="44" t="str">
        <f aca="false">IF(ISNUMBER(H303),H303-F303,"")</f>
        <v/>
      </c>
      <c r="J303" s="27" t="str">
        <f aca="false">IF(NOT(ISNUMBER(H303)),"Not in bank",IF(ABS(I303)&lt;=Setup!$B$9,"Matched","Amount difference"))</f>
        <v>Not in bank</v>
      </c>
    </row>
    <row r="304" customFormat="false" ht="15" hidden="false" customHeight="false" outlineLevel="0" collapsed="false">
      <c r="A304" s="41" t="n">
        <v>46295</v>
      </c>
      <c r="B304" s="5" t="s">
        <v>878</v>
      </c>
      <c r="C304" s="45" t="s">
        <v>1257</v>
      </c>
      <c r="D304" s="5" t="s">
        <v>901</v>
      </c>
      <c r="E304" s="43" t="n">
        <v>272065</v>
      </c>
      <c r="F304" s="44" t="n">
        <f aca="false">IF(D304="Receipt",E304,-E304)</f>
        <v>272065</v>
      </c>
      <c r="G304" s="5" t="s">
        <v>879</v>
      </c>
      <c r="H304" s="29" t="str">
        <f aca="false">IFERROR(INDEX(Bank_Statement!$F$6:$F$303,MATCH(G304,Bank_Statement!$C$6:$C$303,0)),"Not in bank")</f>
        <v>Not in bank</v>
      </c>
      <c r="I304" s="44" t="str">
        <f aca="false">IF(ISNUMBER(H304),H304-F304,"")</f>
        <v/>
      </c>
      <c r="J304" s="27" t="str">
        <f aca="false">IF(NOT(ISNUMBER(H304)),"Not in bank",IF(ABS(I304)&lt;=Setup!$B$9,"Matched","Amount difference"))</f>
        <v>Not in bank</v>
      </c>
    </row>
  </sheetData>
  <autoFilter ref="A5:J304"/>
  <conditionalFormatting sqref="J6:J304">
    <cfRule type="expression" priority="2" aboveAverage="0" equalAverage="0" bottom="0" percent="0" rank="0" text="" dxfId="11">
      <formula>J6="Matched"</formula>
    </cfRule>
    <cfRule type="expression" priority="3" aboveAverage="0" equalAverage="0" bottom="0" percent="0" rank="0" text="" dxfId="9">
      <formula>J6="Amount difference"</formula>
    </cfRule>
    <cfRule type="expression" priority="4" aboveAverage="0" equalAverage="0" bottom="0" percent="0" rank="0" text="" dxfId="8">
      <formula>J6="Not in bank"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3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2"/>
    <col collapsed="false" customWidth="true" hidden="false" outlineLevel="0" max="3" min="3" style="0" width="17"/>
    <col collapsed="false" customWidth="true" hidden="false" outlineLevel="0" max="6" min="4" style="0" width="13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5" t="s">
        <v>1258</v>
      </c>
    </row>
    <row r="2" customFormat="false" ht="15" hidden="false" customHeight="false" outlineLevel="0" collapsed="false">
      <c r="A2" s="16" t="s">
        <v>1259</v>
      </c>
    </row>
    <row r="5" customFormat="false" ht="30" hidden="false" customHeight="true" outlineLevel="0" collapsed="false">
      <c r="A5" s="6" t="s">
        <v>5</v>
      </c>
      <c r="B5" s="6" t="s">
        <v>1260</v>
      </c>
      <c r="C5" s="6" t="s">
        <v>886</v>
      </c>
      <c r="D5" s="6" t="s">
        <v>1261</v>
      </c>
      <c r="E5" s="6" t="s">
        <v>1262</v>
      </c>
      <c r="F5" s="6" t="s">
        <v>885</v>
      </c>
      <c r="G5" s="6" t="s">
        <v>1263</v>
      </c>
      <c r="H5" s="6" t="s">
        <v>1264</v>
      </c>
      <c r="I5" s="6" t="s">
        <v>1265</v>
      </c>
    </row>
    <row r="6" customFormat="false" ht="15" hidden="false" customHeight="false" outlineLevel="0" collapsed="false">
      <c r="A6" s="41" t="n">
        <v>46114</v>
      </c>
      <c r="B6" s="45" t="s">
        <v>1266</v>
      </c>
      <c r="C6" s="5" t="s">
        <v>893</v>
      </c>
      <c r="D6" s="43" t="n">
        <v>370000</v>
      </c>
      <c r="E6" s="43"/>
      <c r="F6" s="44" t="n">
        <f aca="false">N(E6)-N(D6)</f>
        <v>-370000</v>
      </c>
      <c r="G6" s="29" t="n">
        <f aca="false">Setup!$B$8+SUM($F$6:F6)</f>
        <v>880000</v>
      </c>
      <c r="H6" s="45" t="s">
        <v>1267</v>
      </c>
      <c r="I6" s="27" t="str">
        <f aca="false">IF(COUNTIF(Cash_Book!$G$6:$G$304,C6)=0,"Not in books","In books")</f>
        <v>In books</v>
      </c>
    </row>
    <row r="7" customFormat="false" ht="15" hidden="false" customHeight="false" outlineLevel="0" collapsed="false">
      <c r="A7" s="41" t="n">
        <v>46115</v>
      </c>
      <c r="B7" s="45" t="s">
        <v>1268</v>
      </c>
      <c r="C7" s="5" t="s">
        <v>896</v>
      </c>
      <c r="D7" s="43" t="n">
        <v>23332</v>
      </c>
      <c r="E7" s="43"/>
      <c r="F7" s="44" t="n">
        <f aca="false">N(E7)-N(D7)</f>
        <v>-23332</v>
      </c>
      <c r="G7" s="29" t="n">
        <f aca="false">Setup!$B$8+SUM($F$6:F7)</f>
        <v>856668</v>
      </c>
      <c r="H7" s="45" t="s">
        <v>1269</v>
      </c>
      <c r="I7" s="27" t="str">
        <f aca="false">IF(COUNTIF(Cash_Book!$G$6:$G$304,C7)=0,"Not in books","In books")</f>
        <v>In books</v>
      </c>
    </row>
    <row r="8" customFormat="false" ht="15" hidden="false" customHeight="false" outlineLevel="0" collapsed="false">
      <c r="A8" s="41" t="n">
        <v>46118</v>
      </c>
      <c r="B8" s="45" t="s">
        <v>1270</v>
      </c>
      <c r="C8" s="5" t="s">
        <v>899</v>
      </c>
      <c r="D8" s="43" t="n">
        <v>95000</v>
      </c>
      <c r="E8" s="43"/>
      <c r="F8" s="44" t="n">
        <f aca="false">N(E8)-N(D8)</f>
        <v>-95000</v>
      </c>
      <c r="G8" s="29" t="n">
        <f aca="false">Setup!$B$8+SUM($F$6:F8)</f>
        <v>761668</v>
      </c>
      <c r="H8" s="45" t="s">
        <v>1271</v>
      </c>
      <c r="I8" s="27" t="str">
        <f aca="false">IF(COUNTIF(Cash_Book!$G$6:$G$304,C8)=0,"Not in books","In books")</f>
        <v>In books</v>
      </c>
    </row>
    <row r="9" customFormat="false" ht="15" hidden="false" customHeight="false" outlineLevel="0" collapsed="false">
      <c r="A9" s="41" t="n">
        <v>46121</v>
      </c>
      <c r="B9" s="45" t="s">
        <v>1272</v>
      </c>
      <c r="C9" s="5" t="s">
        <v>411</v>
      </c>
      <c r="D9" s="43"/>
      <c r="E9" s="43" t="n">
        <v>448606</v>
      </c>
      <c r="F9" s="44" t="n">
        <f aca="false">N(E9)-N(D9)</f>
        <v>448606</v>
      </c>
      <c r="G9" s="29" t="n">
        <f aca="false">Setup!$B$8+SUM($F$6:F9)</f>
        <v>1210274</v>
      </c>
      <c r="H9" s="45" t="s">
        <v>1273</v>
      </c>
      <c r="I9" s="27" t="str">
        <f aca="false">IF(COUNTIF(Cash_Book!$G$6:$G$304,C9)=0,"Not in books","In books")</f>
        <v>In books</v>
      </c>
    </row>
    <row r="10" customFormat="false" ht="15" hidden="false" customHeight="false" outlineLevel="0" collapsed="false">
      <c r="A10" s="41" t="n">
        <v>46122</v>
      </c>
      <c r="B10" s="45" t="s">
        <v>1274</v>
      </c>
      <c r="C10" s="5" t="s">
        <v>908</v>
      </c>
      <c r="D10" s="43" t="n">
        <v>567000</v>
      </c>
      <c r="E10" s="43"/>
      <c r="F10" s="44" t="n">
        <f aca="false">N(E10)-N(D10)</f>
        <v>-567000</v>
      </c>
      <c r="G10" s="29" t="n">
        <f aca="false">Setup!$B$8+SUM($F$6:F10)</f>
        <v>643274</v>
      </c>
      <c r="H10" s="45" t="s">
        <v>1275</v>
      </c>
      <c r="I10" s="27" t="str">
        <f aca="false">IF(COUNTIF(Cash_Book!$G$6:$G$304,C10)=0,"Not in books","In books")</f>
        <v>In books</v>
      </c>
    </row>
    <row r="11" customFormat="false" ht="15" hidden="false" customHeight="false" outlineLevel="0" collapsed="false">
      <c r="A11" s="41" t="n">
        <v>46123</v>
      </c>
      <c r="B11" s="45" t="s">
        <v>1276</v>
      </c>
      <c r="C11" s="5" t="s">
        <v>414</v>
      </c>
      <c r="D11" s="43"/>
      <c r="E11" s="43" t="n">
        <v>210447</v>
      </c>
      <c r="F11" s="44" t="n">
        <f aca="false">N(E11)-N(D11)</f>
        <v>210447</v>
      </c>
      <c r="G11" s="29" t="n">
        <f aca="false">Setup!$B$8+SUM($F$6:F11)</f>
        <v>853721</v>
      </c>
      <c r="H11" s="45" t="s">
        <v>1273</v>
      </c>
      <c r="I11" s="27" t="str">
        <f aca="false">IF(COUNTIF(Cash_Book!$G$6:$G$304,C11)=0,"Not in books","In books")</f>
        <v>In books</v>
      </c>
    </row>
    <row r="12" customFormat="false" ht="15" hidden="false" customHeight="false" outlineLevel="0" collapsed="false">
      <c r="A12" s="41" t="n">
        <v>46123</v>
      </c>
      <c r="B12" s="45" t="s">
        <v>1277</v>
      </c>
      <c r="C12" s="5" t="s">
        <v>416</v>
      </c>
      <c r="D12" s="43"/>
      <c r="E12" s="43" t="n">
        <v>273061</v>
      </c>
      <c r="F12" s="44" t="n">
        <f aca="false">N(E12)-N(D12)</f>
        <v>273061</v>
      </c>
      <c r="G12" s="29" t="n">
        <f aca="false">Setup!$B$8+SUM($F$6:F12)</f>
        <v>1126782</v>
      </c>
      <c r="H12" s="45" t="s">
        <v>1273</v>
      </c>
      <c r="I12" s="27" t="str">
        <f aca="false">IF(COUNTIF(Cash_Book!$G$6:$G$304,C12)=0,"Not in books","In books")</f>
        <v>In books</v>
      </c>
    </row>
    <row r="13" customFormat="false" ht="15" hidden="false" customHeight="false" outlineLevel="0" collapsed="false">
      <c r="A13" s="41" t="n">
        <v>46124</v>
      </c>
      <c r="B13" s="45" t="s">
        <v>1278</v>
      </c>
      <c r="C13" s="5" t="s">
        <v>423</v>
      </c>
      <c r="D13" s="43"/>
      <c r="E13" s="43" t="n">
        <v>71313</v>
      </c>
      <c r="F13" s="44" t="n">
        <f aca="false">N(E13)-N(D13)</f>
        <v>71313</v>
      </c>
      <c r="G13" s="29" t="n">
        <f aca="false">Setup!$B$8+SUM($F$6:F13)</f>
        <v>1198095</v>
      </c>
      <c r="H13" s="45" t="s">
        <v>1273</v>
      </c>
      <c r="I13" s="27" t="str">
        <f aca="false">IF(COUNTIF(Cash_Book!$G$6:$G$304,C13)=0,"Not in books","In books")</f>
        <v>In books</v>
      </c>
    </row>
    <row r="14" customFormat="false" ht="15" hidden="false" customHeight="false" outlineLevel="0" collapsed="false">
      <c r="A14" s="41" t="n">
        <v>46125</v>
      </c>
      <c r="B14" s="45" t="s">
        <v>1279</v>
      </c>
      <c r="C14" s="5" t="s">
        <v>421</v>
      </c>
      <c r="D14" s="43"/>
      <c r="E14" s="43" t="n">
        <v>324643</v>
      </c>
      <c r="F14" s="44" t="n">
        <f aca="false">N(E14)-N(D14)</f>
        <v>324643</v>
      </c>
      <c r="G14" s="29" t="n">
        <f aca="false">Setup!$B$8+SUM($F$6:F14)</f>
        <v>1522738</v>
      </c>
      <c r="H14" s="45" t="s">
        <v>1273</v>
      </c>
      <c r="I14" s="27" t="str">
        <f aca="false">IF(COUNTIF(Cash_Book!$G$6:$G$304,C14)=0,"Not in books","In books")</f>
        <v>In books</v>
      </c>
    </row>
    <row r="15" customFormat="false" ht="15" hidden="false" customHeight="false" outlineLevel="0" collapsed="false">
      <c r="A15" s="41" t="n">
        <v>46125</v>
      </c>
      <c r="B15" s="45" t="s">
        <v>1280</v>
      </c>
      <c r="C15" s="5" t="s">
        <v>425</v>
      </c>
      <c r="D15" s="43"/>
      <c r="E15" s="43" t="n">
        <v>345881</v>
      </c>
      <c r="F15" s="44" t="n">
        <f aca="false">N(E15)-N(D15)</f>
        <v>345881</v>
      </c>
      <c r="G15" s="29" t="n">
        <f aca="false">Setup!$B$8+SUM($F$6:F15)</f>
        <v>1868619</v>
      </c>
      <c r="H15" s="45" t="s">
        <v>1273</v>
      </c>
      <c r="I15" s="27" t="str">
        <f aca="false">IF(COUNTIF(Cash_Book!$G$6:$G$304,C15)=0,"Not in books","In books")</f>
        <v>In books</v>
      </c>
    </row>
    <row r="16" customFormat="false" ht="15" hidden="false" customHeight="false" outlineLevel="0" collapsed="false">
      <c r="A16" s="41" t="n">
        <v>46126</v>
      </c>
      <c r="B16" s="45" t="s">
        <v>1281</v>
      </c>
      <c r="C16" s="5" t="s">
        <v>419</v>
      </c>
      <c r="D16" s="43"/>
      <c r="E16" s="43" t="n">
        <v>534180</v>
      </c>
      <c r="F16" s="44" t="n">
        <f aca="false">N(E16)-N(D16)</f>
        <v>534180</v>
      </c>
      <c r="G16" s="29" t="n">
        <f aca="false">Setup!$B$8+SUM($F$6:F16)</f>
        <v>2402799</v>
      </c>
      <c r="H16" s="45" t="s">
        <v>1273</v>
      </c>
      <c r="I16" s="27" t="str">
        <f aca="false">IF(COUNTIF(Cash_Book!$G$6:$G$304,C16)=0,"Not in books","In books")</f>
        <v>In books</v>
      </c>
    </row>
    <row r="17" customFormat="false" ht="15" hidden="false" customHeight="false" outlineLevel="0" collapsed="false">
      <c r="A17" s="41" t="n">
        <v>46127</v>
      </c>
      <c r="B17" s="45" t="s">
        <v>1282</v>
      </c>
      <c r="C17" s="5" t="s">
        <v>427</v>
      </c>
      <c r="D17" s="43"/>
      <c r="E17" s="43" t="n">
        <v>302522</v>
      </c>
      <c r="F17" s="44" t="n">
        <f aca="false">N(E17)-N(D17)</f>
        <v>302522</v>
      </c>
      <c r="G17" s="29" t="n">
        <f aca="false">Setup!$B$8+SUM($F$6:F17)</f>
        <v>2705321</v>
      </c>
      <c r="H17" s="45" t="s">
        <v>1273</v>
      </c>
      <c r="I17" s="27" t="str">
        <f aca="false">IF(COUNTIF(Cash_Book!$G$6:$G$304,C17)=0,"Not in books","In books")</f>
        <v>In books</v>
      </c>
    </row>
    <row r="18" customFormat="false" ht="15" hidden="false" customHeight="false" outlineLevel="0" collapsed="false">
      <c r="A18" s="41" t="n">
        <v>46128</v>
      </c>
      <c r="B18" s="45" t="s">
        <v>1283</v>
      </c>
      <c r="C18" s="5" t="s">
        <v>905</v>
      </c>
      <c r="D18" s="43" t="n">
        <v>24592</v>
      </c>
      <c r="E18" s="43"/>
      <c r="F18" s="44" t="n">
        <f aca="false">N(E18)-N(D18)</f>
        <v>-24592</v>
      </c>
      <c r="G18" s="29" t="n">
        <f aca="false">Setup!$B$8+SUM($F$6:F18)</f>
        <v>2680729</v>
      </c>
      <c r="H18" s="45" t="s">
        <v>1269</v>
      </c>
      <c r="I18" s="27" t="str">
        <f aca="false">IF(COUNTIF(Cash_Book!$G$6:$G$304,C18)=0,"Not in books","In books")</f>
        <v>In books</v>
      </c>
    </row>
    <row r="19" customFormat="false" ht="15" hidden="false" customHeight="false" outlineLevel="0" collapsed="false">
      <c r="A19" s="41" t="n">
        <v>46129</v>
      </c>
      <c r="B19" s="45" t="s">
        <v>1284</v>
      </c>
      <c r="C19" s="5" t="s">
        <v>429</v>
      </c>
      <c r="D19" s="43"/>
      <c r="E19" s="43" t="n">
        <v>160355</v>
      </c>
      <c r="F19" s="44" t="n">
        <f aca="false">N(E19)-N(D19)</f>
        <v>160355</v>
      </c>
      <c r="G19" s="29" t="n">
        <f aca="false">Setup!$B$8+SUM($F$6:F19)</f>
        <v>2841084</v>
      </c>
      <c r="H19" s="45" t="s">
        <v>1273</v>
      </c>
      <c r="I19" s="27" t="str">
        <f aca="false">IF(COUNTIF(Cash_Book!$G$6:$G$304,C19)=0,"Not in books","In books")</f>
        <v>In books</v>
      </c>
    </row>
    <row r="20" customFormat="false" ht="15" hidden="false" customHeight="false" outlineLevel="0" collapsed="false">
      <c r="A20" s="41" t="n">
        <v>46130</v>
      </c>
      <c r="B20" s="45" t="s">
        <v>1285</v>
      </c>
      <c r="C20" s="5" t="s">
        <v>431</v>
      </c>
      <c r="D20" s="43"/>
      <c r="E20" s="43" t="n">
        <v>366402</v>
      </c>
      <c r="F20" s="44" t="n">
        <f aca="false">N(E20)-N(D20)</f>
        <v>366402</v>
      </c>
      <c r="G20" s="29" t="n">
        <f aca="false">Setup!$B$8+SUM($F$6:F20)</f>
        <v>3207486</v>
      </c>
      <c r="H20" s="45" t="s">
        <v>1273</v>
      </c>
      <c r="I20" s="27" t="str">
        <f aca="false">IF(COUNTIF(Cash_Book!$G$6:$G$304,C20)=0,"Not in books","In books")</f>
        <v>In books</v>
      </c>
    </row>
    <row r="21" customFormat="false" ht="15" hidden="false" customHeight="false" outlineLevel="0" collapsed="false">
      <c r="A21" s="41" t="n">
        <v>46132</v>
      </c>
      <c r="B21" s="45" t="s">
        <v>1286</v>
      </c>
      <c r="C21" s="5" t="s">
        <v>925</v>
      </c>
      <c r="D21" s="43" t="n">
        <v>260000</v>
      </c>
      <c r="E21" s="43"/>
      <c r="F21" s="44" t="n">
        <f aca="false">N(E21)-N(D21)</f>
        <v>-260000</v>
      </c>
      <c r="G21" s="29" t="n">
        <f aca="false">Setup!$B$8+SUM($F$6:F21)</f>
        <v>2947486</v>
      </c>
      <c r="H21" s="45" t="s">
        <v>1287</v>
      </c>
      <c r="I21" s="27" t="str">
        <f aca="false">IF(COUNTIF(Cash_Book!$G$6:$G$304,C21)=0,"Not in books","In books")</f>
        <v>In books</v>
      </c>
    </row>
    <row r="22" customFormat="false" ht="15" hidden="false" customHeight="false" outlineLevel="0" collapsed="false">
      <c r="A22" s="41" t="n">
        <v>46133</v>
      </c>
      <c r="B22" s="45" t="s">
        <v>1288</v>
      </c>
      <c r="C22" s="5" t="s">
        <v>433</v>
      </c>
      <c r="D22" s="43"/>
      <c r="E22" s="43" t="n">
        <v>166080</v>
      </c>
      <c r="F22" s="44" t="n">
        <f aca="false">N(E22)-N(D22)</f>
        <v>166080</v>
      </c>
      <c r="G22" s="29" t="n">
        <f aca="false">Setup!$B$8+SUM($F$6:F22)</f>
        <v>3113566</v>
      </c>
      <c r="H22" s="45" t="s">
        <v>1273</v>
      </c>
      <c r="I22" s="27" t="str">
        <f aca="false">IF(COUNTIF(Cash_Book!$G$6:$G$304,C22)=0,"Not in books","In books")</f>
        <v>In books</v>
      </c>
    </row>
    <row r="23" customFormat="false" ht="15" hidden="false" customHeight="false" outlineLevel="0" collapsed="false">
      <c r="A23" s="41" t="n">
        <v>46133</v>
      </c>
      <c r="B23" s="45" t="s">
        <v>1289</v>
      </c>
      <c r="C23" s="5" t="s">
        <v>437</v>
      </c>
      <c r="D23" s="43"/>
      <c r="E23" s="43" t="n">
        <v>116836</v>
      </c>
      <c r="F23" s="44" t="n">
        <f aca="false">N(E23)-N(D23)</f>
        <v>116836</v>
      </c>
      <c r="G23" s="29" t="n">
        <f aca="false">Setup!$B$8+SUM($F$6:F23)</f>
        <v>3230402</v>
      </c>
      <c r="H23" s="45" t="s">
        <v>1273</v>
      </c>
      <c r="I23" s="27" t="str">
        <f aca="false">IF(COUNTIF(Cash_Book!$G$6:$G$304,C23)=0,"Not in books","In books")</f>
        <v>In books</v>
      </c>
    </row>
    <row r="24" customFormat="false" ht="15" hidden="false" customHeight="false" outlineLevel="0" collapsed="false">
      <c r="A24" s="41" t="n">
        <v>46134</v>
      </c>
      <c r="B24" s="45" t="s">
        <v>1290</v>
      </c>
      <c r="C24" s="5" t="s">
        <v>918</v>
      </c>
      <c r="D24" s="43" t="n">
        <v>83475</v>
      </c>
      <c r="E24" s="43"/>
      <c r="F24" s="44" t="n">
        <f aca="false">N(E24)-N(D24)</f>
        <v>-83475</v>
      </c>
      <c r="G24" s="29" t="n">
        <f aca="false">Setup!$B$8+SUM($F$6:F24)</f>
        <v>3146927</v>
      </c>
      <c r="H24" s="45" t="s">
        <v>1269</v>
      </c>
      <c r="I24" s="27" t="str">
        <f aca="false">IF(COUNTIF(Cash_Book!$G$6:$G$304,C24)=0,"Not in books","In books")</f>
        <v>In books</v>
      </c>
    </row>
    <row r="25" customFormat="false" ht="15" hidden="false" customHeight="false" outlineLevel="0" collapsed="false">
      <c r="A25" s="41" t="n">
        <v>46134</v>
      </c>
      <c r="B25" s="45" t="s">
        <v>1291</v>
      </c>
      <c r="C25" s="5" t="s">
        <v>435</v>
      </c>
      <c r="D25" s="43"/>
      <c r="E25" s="43" t="n">
        <v>51198</v>
      </c>
      <c r="F25" s="44" t="n">
        <f aca="false">N(E25)-N(D25)</f>
        <v>51198</v>
      </c>
      <c r="G25" s="29" t="n">
        <f aca="false">Setup!$B$8+SUM($F$6:F25)</f>
        <v>3198125</v>
      </c>
      <c r="H25" s="45" t="s">
        <v>1273</v>
      </c>
      <c r="I25" s="27" t="str">
        <f aca="false">IF(COUNTIF(Cash_Book!$G$6:$G$304,C25)=0,"Not in books","In books")</f>
        <v>In books</v>
      </c>
    </row>
    <row r="26" customFormat="false" ht="15" hidden="false" customHeight="false" outlineLevel="0" collapsed="false">
      <c r="A26" s="41" t="n">
        <v>46134</v>
      </c>
      <c r="B26" s="45" t="s">
        <v>1292</v>
      </c>
      <c r="C26" s="5" t="s">
        <v>439</v>
      </c>
      <c r="D26" s="43"/>
      <c r="E26" s="43" t="n">
        <v>190560</v>
      </c>
      <c r="F26" s="44" t="n">
        <f aca="false">N(E26)-N(D26)</f>
        <v>190560</v>
      </c>
      <c r="G26" s="29" t="n">
        <f aca="false">Setup!$B$8+SUM($F$6:F26)</f>
        <v>3388685</v>
      </c>
      <c r="H26" s="45" t="s">
        <v>1273</v>
      </c>
      <c r="I26" s="27" t="str">
        <f aca="false">IF(COUNTIF(Cash_Book!$G$6:$G$304,C26)=0,"Not in books","In books")</f>
        <v>In books</v>
      </c>
    </row>
    <row r="27" customFormat="false" ht="15" hidden="false" customHeight="false" outlineLevel="0" collapsed="false">
      <c r="A27" s="41" t="n">
        <v>46135</v>
      </c>
      <c r="B27" s="45" t="s">
        <v>1293</v>
      </c>
      <c r="C27" s="5" t="s">
        <v>932</v>
      </c>
      <c r="D27" s="43" t="n">
        <v>71146</v>
      </c>
      <c r="E27" s="43"/>
      <c r="F27" s="44" t="n">
        <f aca="false">N(E27)-N(D27)</f>
        <v>-71146</v>
      </c>
      <c r="G27" s="29" t="n">
        <f aca="false">Setup!$B$8+SUM($F$6:F27)</f>
        <v>3317539</v>
      </c>
      <c r="H27" s="45" t="s">
        <v>1269</v>
      </c>
      <c r="I27" s="27" t="str">
        <f aca="false">IF(COUNTIF(Cash_Book!$G$6:$G$304,C27)=0,"Not in books","In books")</f>
        <v>In books</v>
      </c>
    </row>
    <row r="28" customFormat="false" ht="15" hidden="false" customHeight="false" outlineLevel="0" collapsed="false">
      <c r="A28" s="41" t="n">
        <v>46135</v>
      </c>
      <c r="B28" s="45" t="s">
        <v>1294</v>
      </c>
      <c r="C28" s="5" t="s">
        <v>443</v>
      </c>
      <c r="D28" s="43"/>
      <c r="E28" s="43" t="n">
        <v>274315</v>
      </c>
      <c r="F28" s="44" t="n">
        <f aca="false">N(E28)-N(D28)</f>
        <v>274315</v>
      </c>
      <c r="G28" s="29" t="n">
        <f aca="false">Setup!$B$8+SUM($F$6:F28)</f>
        <v>3591854</v>
      </c>
      <c r="H28" s="45" t="s">
        <v>1273</v>
      </c>
      <c r="I28" s="27" t="str">
        <f aca="false">IF(COUNTIF(Cash_Book!$G$6:$G$304,C28)=0,"Not in books","In books")</f>
        <v>In books</v>
      </c>
    </row>
    <row r="29" customFormat="false" ht="15" hidden="false" customHeight="false" outlineLevel="0" collapsed="false">
      <c r="A29" s="41" t="n">
        <v>46136</v>
      </c>
      <c r="B29" s="45" t="s">
        <v>1295</v>
      </c>
      <c r="C29" s="5" t="s">
        <v>441</v>
      </c>
      <c r="D29" s="43"/>
      <c r="E29" s="43" t="n">
        <v>214074</v>
      </c>
      <c r="F29" s="44" t="n">
        <f aca="false">N(E29)-N(D29)</f>
        <v>214074</v>
      </c>
      <c r="G29" s="29" t="n">
        <f aca="false">Setup!$B$8+SUM($F$6:F29)</f>
        <v>3805928</v>
      </c>
      <c r="H29" s="45" t="s">
        <v>1273</v>
      </c>
      <c r="I29" s="27" t="str">
        <f aca="false">IF(COUNTIF(Cash_Book!$G$6:$G$304,C29)=0,"Not in books","In books")</f>
        <v>In books</v>
      </c>
    </row>
    <row r="30" customFormat="false" ht="15" hidden="false" customHeight="false" outlineLevel="0" collapsed="false">
      <c r="A30" s="41" t="n">
        <v>46137</v>
      </c>
      <c r="B30" s="45" t="s">
        <v>1296</v>
      </c>
      <c r="C30" s="5" t="s">
        <v>445</v>
      </c>
      <c r="D30" s="43"/>
      <c r="E30" s="43" t="n">
        <v>100844</v>
      </c>
      <c r="F30" s="44" t="n">
        <f aca="false">N(E30)-N(D30)</f>
        <v>100844</v>
      </c>
      <c r="G30" s="29" t="n">
        <f aca="false">Setup!$B$8+SUM($F$6:F30)</f>
        <v>3906772</v>
      </c>
      <c r="H30" s="45" t="s">
        <v>1273</v>
      </c>
      <c r="I30" s="27" t="str">
        <f aca="false">IF(COUNTIF(Cash_Book!$G$6:$G$304,C30)=0,"Not in books","In books")</f>
        <v>In books</v>
      </c>
    </row>
    <row r="31" customFormat="false" ht="15" hidden="false" customHeight="false" outlineLevel="0" collapsed="false">
      <c r="A31" s="41" t="n">
        <v>46137</v>
      </c>
      <c r="B31" s="45" t="s">
        <v>1297</v>
      </c>
      <c r="C31" s="5" t="s">
        <v>936</v>
      </c>
      <c r="D31" s="43" t="n">
        <v>3003000</v>
      </c>
      <c r="E31" s="43"/>
      <c r="F31" s="44" t="n">
        <f aca="false">N(E31)-N(D31)</f>
        <v>-3003000</v>
      </c>
      <c r="G31" s="29" t="n">
        <f aca="false">Setup!$B$8+SUM($F$6:F31)</f>
        <v>903772</v>
      </c>
      <c r="H31" s="45" t="s">
        <v>1275</v>
      </c>
      <c r="I31" s="27" t="str">
        <f aca="false">IF(COUNTIF(Cash_Book!$G$6:$G$304,C31)=0,"Not in books","In books")</f>
        <v>In books</v>
      </c>
    </row>
    <row r="32" customFormat="false" ht="15" hidden="false" customHeight="false" outlineLevel="0" collapsed="false">
      <c r="A32" s="41" t="n">
        <v>46139</v>
      </c>
      <c r="B32" s="45" t="s">
        <v>1298</v>
      </c>
      <c r="C32" s="5" t="s">
        <v>929</v>
      </c>
      <c r="D32" s="43" t="n">
        <v>119694</v>
      </c>
      <c r="E32" s="43"/>
      <c r="F32" s="44" t="n">
        <f aca="false">N(E32)-N(D32)</f>
        <v>-119694</v>
      </c>
      <c r="G32" s="29" t="n">
        <f aca="false">Setup!$B$8+SUM($F$6:F32)</f>
        <v>784078</v>
      </c>
      <c r="H32" s="45" t="s">
        <v>1269</v>
      </c>
      <c r="I32" s="27" t="str">
        <f aca="false">IF(COUNTIF(Cash_Book!$G$6:$G$304,C32)=0,"Not in books","In books")</f>
        <v>In books</v>
      </c>
    </row>
    <row r="33" customFormat="false" ht="15" hidden="false" customHeight="false" outlineLevel="0" collapsed="false">
      <c r="A33" s="41" t="n">
        <v>46139</v>
      </c>
      <c r="B33" s="45" t="s">
        <v>1299</v>
      </c>
      <c r="C33" s="5" t="s">
        <v>447</v>
      </c>
      <c r="D33" s="43"/>
      <c r="E33" s="43" t="n">
        <v>283842</v>
      </c>
      <c r="F33" s="44" t="n">
        <f aca="false">N(E33)-N(D33)</f>
        <v>283842</v>
      </c>
      <c r="G33" s="29" t="n">
        <f aca="false">Setup!$B$8+SUM($F$6:F33)</f>
        <v>1067920</v>
      </c>
      <c r="H33" s="45" t="s">
        <v>1273</v>
      </c>
      <c r="I33" s="27" t="str">
        <f aca="false">IF(COUNTIF(Cash_Book!$G$6:$G$304,C33)=0,"Not in books","In books")</f>
        <v>In books</v>
      </c>
    </row>
    <row r="34" customFormat="false" ht="15" hidden="false" customHeight="false" outlineLevel="0" collapsed="false">
      <c r="A34" s="41" t="n">
        <v>46139</v>
      </c>
      <c r="B34" s="45" t="s">
        <v>1300</v>
      </c>
      <c r="C34" s="5" t="s">
        <v>939</v>
      </c>
      <c r="D34" s="43" t="n">
        <v>170607</v>
      </c>
      <c r="E34" s="43"/>
      <c r="F34" s="44" t="n">
        <f aca="false">N(E34)-N(D34)</f>
        <v>-170607</v>
      </c>
      <c r="G34" s="29" t="n">
        <f aca="false">Setup!$B$8+SUM($F$6:F34)</f>
        <v>897313</v>
      </c>
      <c r="H34" s="45" t="s">
        <v>1269</v>
      </c>
      <c r="I34" s="27" t="str">
        <f aca="false">IF(COUNTIF(Cash_Book!$G$6:$G$304,C34)=0,"Not in books","In books")</f>
        <v>In books</v>
      </c>
    </row>
    <row r="35" customFormat="false" ht="15" hidden="false" customHeight="false" outlineLevel="0" collapsed="false">
      <c r="A35" s="41" t="n">
        <v>46139</v>
      </c>
      <c r="B35" s="45" t="s">
        <v>1301</v>
      </c>
      <c r="C35" s="5" t="s">
        <v>451</v>
      </c>
      <c r="D35" s="43"/>
      <c r="E35" s="43" t="n">
        <v>242300</v>
      </c>
      <c r="F35" s="44" t="n">
        <f aca="false">N(E35)-N(D35)</f>
        <v>242300</v>
      </c>
      <c r="G35" s="29" t="n">
        <f aca="false">Setup!$B$8+SUM($F$6:F35)</f>
        <v>1139613</v>
      </c>
      <c r="H35" s="45" t="s">
        <v>1273</v>
      </c>
      <c r="I35" s="27" t="str">
        <f aca="false">IF(COUNTIF(Cash_Book!$G$6:$G$304,C35)=0,"Not in books","In books")</f>
        <v>In books</v>
      </c>
    </row>
    <row r="36" customFormat="false" ht="15" hidden="false" customHeight="false" outlineLevel="0" collapsed="false">
      <c r="A36" s="41" t="n">
        <v>46140</v>
      </c>
      <c r="B36" s="45" t="s">
        <v>1302</v>
      </c>
      <c r="C36" s="5" t="s">
        <v>449</v>
      </c>
      <c r="D36" s="43"/>
      <c r="E36" s="43" t="n">
        <v>403095</v>
      </c>
      <c r="F36" s="44" t="n">
        <f aca="false">N(E36)-N(D36)</f>
        <v>403095</v>
      </c>
      <c r="G36" s="29" t="n">
        <f aca="false">Setup!$B$8+SUM($F$6:F36)</f>
        <v>1542708</v>
      </c>
      <c r="H36" s="45" t="s">
        <v>1273</v>
      </c>
      <c r="I36" s="27" t="str">
        <f aca="false">IF(COUNTIF(Cash_Book!$G$6:$G$304,C36)=0,"Not in books","In books")</f>
        <v>In books</v>
      </c>
    </row>
    <row r="37" customFormat="false" ht="15" hidden="false" customHeight="false" outlineLevel="0" collapsed="false">
      <c r="A37" s="41" t="n">
        <v>46140</v>
      </c>
      <c r="B37" s="45" t="s">
        <v>1303</v>
      </c>
      <c r="C37" s="5" t="s">
        <v>945</v>
      </c>
      <c r="D37" s="43" t="n">
        <v>123083</v>
      </c>
      <c r="E37" s="43"/>
      <c r="F37" s="44" t="n">
        <f aca="false">N(E37)-N(D37)</f>
        <v>-123083</v>
      </c>
      <c r="G37" s="29" t="n">
        <f aca="false">Setup!$B$8+SUM($F$6:F37)</f>
        <v>1419625</v>
      </c>
      <c r="H37" s="45" t="s">
        <v>1269</v>
      </c>
      <c r="I37" s="27" t="str">
        <f aca="false">IF(COUNTIF(Cash_Book!$G$6:$G$304,C37)=0,"Not in books","In books")</f>
        <v>In books</v>
      </c>
    </row>
    <row r="38" customFormat="false" ht="15" hidden="false" customHeight="false" outlineLevel="0" collapsed="false">
      <c r="A38" s="41" t="n">
        <v>46141</v>
      </c>
      <c r="B38" s="45" t="s">
        <v>1304</v>
      </c>
      <c r="C38" s="5" t="s">
        <v>453</v>
      </c>
      <c r="D38" s="43"/>
      <c r="E38" s="43" t="n">
        <v>126314</v>
      </c>
      <c r="F38" s="44" t="n">
        <f aca="false">N(E38)-N(D38)</f>
        <v>126314</v>
      </c>
      <c r="G38" s="29" t="n">
        <f aca="false">Setup!$B$8+SUM($F$6:F38)</f>
        <v>1545939</v>
      </c>
      <c r="H38" s="45" t="s">
        <v>1273</v>
      </c>
      <c r="I38" s="27" t="str">
        <f aca="false">IF(COUNTIF(Cash_Book!$G$6:$G$304,C38)=0,"Not in books","In books")</f>
        <v>In books</v>
      </c>
    </row>
    <row r="39" customFormat="false" ht="15" hidden="false" customHeight="false" outlineLevel="0" collapsed="false">
      <c r="A39" s="41" t="n">
        <v>46141</v>
      </c>
      <c r="B39" s="45" t="s">
        <v>1305</v>
      </c>
      <c r="C39" s="5" t="s">
        <v>455</v>
      </c>
      <c r="D39" s="43"/>
      <c r="E39" s="43" t="n">
        <v>90454</v>
      </c>
      <c r="F39" s="44" t="n">
        <f aca="false">N(E39)-N(D39)</f>
        <v>90454</v>
      </c>
      <c r="G39" s="29" t="n">
        <f aca="false">Setup!$B$8+SUM($F$6:F39)</f>
        <v>1636393</v>
      </c>
      <c r="H39" s="45" t="s">
        <v>1273</v>
      </c>
      <c r="I39" s="27" t="str">
        <f aca="false">IF(COUNTIF(Cash_Book!$G$6:$G$304,C39)=0,"Not in books","In books")</f>
        <v>In books</v>
      </c>
    </row>
    <row r="40" customFormat="false" ht="15" hidden="false" customHeight="false" outlineLevel="0" collapsed="false">
      <c r="A40" s="41" t="n">
        <v>46141</v>
      </c>
      <c r="B40" s="45" t="s">
        <v>1306</v>
      </c>
      <c r="C40" s="5" t="s">
        <v>457</v>
      </c>
      <c r="D40" s="43"/>
      <c r="E40" s="43" t="n">
        <v>287689</v>
      </c>
      <c r="F40" s="44" t="n">
        <f aca="false">N(E40)-N(D40)</f>
        <v>287689</v>
      </c>
      <c r="G40" s="29" t="n">
        <f aca="false">Setup!$B$8+SUM($F$6:F40)</f>
        <v>1924082</v>
      </c>
      <c r="H40" s="45" t="s">
        <v>1273</v>
      </c>
      <c r="I40" s="27" t="str">
        <f aca="false">IF(COUNTIF(Cash_Book!$G$6:$G$304,C40)=0,"Not in books","In books")</f>
        <v>In books</v>
      </c>
    </row>
    <row r="41" customFormat="false" ht="15" hidden="false" customHeight="false" outlineLevel="0" collapsed="false">
      <c r="A41" s="41" t="n">
        <v>46142</v>
      </c>
      <c r="B41" s="45" t="s">
        <v>1307</v>
      </c>
      <c r="C41" s="5" t="s">
        <v>953</v>
      </c>
      <c r="D41" s="43" t="n">
        <v>590</v>
      </c>
      <c r="E41" s="43"/>
      <c r="F41" s="44" t="n">
        <f aca="false">N(E41)-N(D41)</f>
        <v>-590</v>
      </c>
      <c r="G41" s="29" t="n">
        <f aca="false">Setup!$B$8+SUM($F$6:F41)</f>
        <v>1923492</v>
      </c>
      <c r="H41" s="45" t="s">
        <v>1308</v>
      </c>
      <c r="I41" s="27" t="str">
        <f aca="false">IF(COUNTIF(Cash_Book!$G$6:$G$304,C41)=0,"Not in books","In books")</f>
        <v>In books</v>
      </c>
    </row>
    <row r="42" customFormat="false" ht="15" hidden="false" customHeight="false" outlineLevel="0" collapsed="false">
      <c r="A42" s="41" t="n">
        <v>46143</v>
      </c>
      <c r="B42" s="45" t="s">
        <v>1309</v>
      </c>
      <c r="C42" s="5" t="s">
        <v>459</v>
      </c>
      <c r="D42" s="43"/>
      <c r="E42" s="43" t="n">
        <v>294234</v>
      </c>
      <c r="F42" s="44" t="n">
        <f aca="false">N(E42)-N(D42)</f>
        <v>294234</v>
      </c>
      <c r="G42" s="29" t="n">
        <f aca="false">Setup!$B$8+SUM($F$6:F42)</f>
        <v>2217726</v>
      </c>
      <c r="H42" s="45" t="s">
        <v>1273</v>
      </c>
      <c r="I42" s="27" t="str">
        <f aca="false">IF(COUNTIF(Cash_Book!$G$6:$G$304,C42)=0,"Not in books","In books")</f>
        <v>In books</v>
      </c>
    </row>
    <row r="43" customFormat="false" ht="15" hidden="false" customHeight="false" outlineLevel="0" collapsed="false">
      <c r="A43" s="41" t="n">
        <v>46143</v>
      </c>
      <c r="B43" s="45" t="s">
        <v>1310</v>
      </c>
      <c r="C43" s="5" t="s">
        <v>950</v>
      </c>
      <c r="D43" s="43" t="n">
        <v>113959</v>
      </c>
      <c r="E43" s="43"/>
      <c r="F43" s="44" t="n">
        <f aca="false">N(E43)-N(D43)</f>
        <v>-113959</v>
      </c>
      <c r="G43" s="29" t="n">
        <f aca="false">Setup!$B$8+SUM($F$6:F43)</f>
        <v>2103767</v>
      </c>
      <c r="H43" s="45" t="s">
        <v>1269</v>
      </c>
      <c r="I43" s="27" t="str">
        <f aca="false">IF(COUNTIF(Cash_Book!$G$6:$G$304,C43)=0,"Not in books","In books")</f>
        <v>In books</v>
      </c>
    </row>
    <row r="44" customFormat="false" ht="15" hidden="false" customHeight="false" outlineLevel="0" collapsed="false">
      <c r="A44" s="41" t="n">
        <v>46144</v>
      </c>
      <c r="B44" s="45" t="s">
        <v>1311</v>
      </c>
      <c r="C44" s="5" t="s">
        <v>461</v>
      </c>
      <c r="D44" s="43"/>
      <c r="E44" s="43" t="n">
        <v>179903</v>
      </c>
      <c r="F44" s="44" t="n">
        <f aca="false">N(E44)-N(D44)</f>
        <v>179903</v>
      </c>
      <c r="G44" s="29" t="n">
        <f aca="false">Setup!$B$8+SUM($F$6:F44)</f>
        <v>2283670</v>
      </c>
      <c r="H44" s="45" t="s">
        <v>1273</v>
      </c>
      <c r="I44" s="27" t="str">
        <f aca="false">IF(COUNTIF(Cash_Book!$G$6:$G$304,C44)=0,"Not in books","In books")</f>
        <v>In books</v>
      </c>
    </row>
    <row r="45" customFormat="false" ht="15" hidden="false" customHeight="false" outlineLevel="0" collapsed="false">
      <c r="A45" s="41" t="n">
        <v>46144</v>
      </c>
      <c r="B45" s="45" t="s">
        <v>1312</v>
      </c>
      <c r="C45" s="5" t="s">
        <v>957</v>
      </c>
      <c r="D45" s="43" t="n">
        <v>380000</v>
      </c>
      <c r="E45" s="43"/>
      <c r="F45" s="44" t="n">
        <f aca="false">N(E45)-N(D45)</f>
        <v>-380000</v>
      </c>
      <c r="G45" s="29" t="n">
        <f aca="false">Setup!$B$8+SUM($F$6:F45)</f>
        <v>1903670</v>
      </c>
      <c r="H45" s="45" t="s">
        <v>1267</v>
      </c>
      <c r="I45" s="27" t="str">
        <f aca="false">IF(COUNTIF(Cash_Book!$G$6:$G$304,C45)=0,"Not in books","In books")</f>
        <v>In books</v>
      </c>
    </row>
    <row r="46" customFormat="false" ht="15" hidden="false" customHeight="false" outlineLevel="0" collapsed="false">
      <c r="A46" s="41" t="n">
        <v>46145</v>
      </c>
      <c r="B46" s="45" t="s">
        <v>1313</v>
      </c>
      <c r="C46" s="5" t="s">
        <v>465</v>
      </c>
      <c r="D46" s="43"/>
      <c r="E46" s="43" t="n">
        <v>119088</v>
      </c>
      <c r="F46" s="44" t="n">
        <f aca="false">N(E46)-N(D46)</f>
        <v>119088</v>
      </c>
      <c r="G46" s="29" t="n">
        <f aca="false">Setup!$B$8+SUM($F$6:F46)</f>
        <v>2022758</v>
      </c>
      <c r="H46" s="45" t="s">
        <v>1273</v>
      </c>
      <c r="I46" s="27" t="str">
        <f aca="false">IF(COUNTIF(Cash_Book!$G$6:$G$304,C46)=0,"Not in books","In books")</f>
        <v>In books</v>
      </c>
    </row>
    <row r="47" customFormat="false" ht="15" hidden="false" customHeight="false" outlineLevel="0" collapsed="false">
      <c r="A47" s="41" t="n">
        <v>46147</v>
      </c>
      <c r="B47" s="45" t="s">
        <v>1314</v>
      </c>
      <c r="C47" s="5" t="s">
        <v>463</v>
      </c>
      <c r="D47" s="43"/>
      <c r="E47" s="43" t="n">
        <v>149133</v>
      </c>
      <c r="F47" s="44" t="n">
        <f aca="false">N(E47)-N(D47)</f>
        <v>149133</v>
      </c>
      <c r="G47" s="29" t="n">
        <f aca="false">Setup!$B$8+SUM($F$6:F47)</f>
        <v>2171891</v>
      </c>
      <c r="H47" s="45" t="s">
        <v>1273</v>
      </c>
      <c r="I47" s="27" t="str">
        <f aca="false">IF(COUNTIF(Cash_Book!$G$6:$G$304,C47)=0,"Not in books","In books")</f>
        <v>In books</v>
      </c>
    </row>
    <row r="48" customFormat="false" ht="15" hidden="false" customHeight="false" outlineLevel="0" collapsed="false">
      <c r="A48" s="41" t="n">
        <v>46147</v>
      </c>
      <c r="B48" s="45" t="s">
        <v>1315</v>
      </c>
      <c r="C48" s="5" t="s">
        <v>469</v>
      </c>
      <c r="D48" s="43"/>
      <c r="E48" s="43" t="n">
        <v>310750</v>
      </c>
      <c r="F48" s="44" t="n">
        <f aca="false">N(E48)-N(D48)</f>
        <v>310750</v>
      </c>
      <c r="G48" s="29" t="n">
        <f aca="false">Setup!$B$8+SUM($F$6:F48)</f>
        <v>2482641</v>
      </c>
      <c r="H48" s="45" t="s">
        <v>1273</v>
      </c>
      <c r="I48" s="27" t="str">
        <f aca="false">IF(COUNTIF(Cash_Book!$G$6:$G$304,C48)=0,"Not in books","In books")</f>
        <v>In books</v>
      </c>
    </row>
    <row r="49" customFormat="false" ht="15" hidden="false" customHeight="false" outlineLevel="0" collapsed="false">
      <c r="A49" s="41" t="n">
        <v>46147</v>
      </c>
      <c r="B49" s="45" t="s">
        <v>1316</v>
      </c>
      <c r="C49" s="5" t="s">
        <v>471</v>
      </c>
      <c r="D49" s="43"/>
      <c r="E49" s="43" t="n">
        <v>149207</v>
      </c>
      <c r="F49" s="44" t="n">
        <f aca="false">N(E49)-N(D49)</f>
        <v>149207</v>
      </c>
      <c r="G49" s="29" t="n">
        <f aca="false">Setup!$B$8+SUM($F$6:F49)</f>
        <v>2631848</v>
      </c>
      <c r="H49" s="45" t="s">
        <v>1273</v>
      </c>
      <c r="I49" s="27" t="str">
        <f aca="false">IF(COUNTIF(Cash_Book!$G$6:$G$304,C49)=0,"Not in books","In books")</f>
        <v>In books</v>
      </c>
    </row>
    <row r="50" customFormat="false" ht="15" hidden="false" customHeight="false" outlineLevel="0" collapsed="false">
      <c r="A50" s="41" t="n">
        <v>46148</v>
      </c>
      <c r="B50" s="45" t="s">
        <v>1317</v>
      </c>
      <c r="C50" s="5" t="s">
        <v>964</v>
      </c>
      <c r="D50" s="43" t="n">
        <v>95000</v>
      </c>
      <c r="E50" s="43"/>
      <c r="F50" s="44" t="n">
        <f aca="false">N(E50)-N(D50)</f>
        <v>-95000</v>
      </c>
      <c r="G50" s="29" t="n">
        <f aca="false">Setup!$B$8+SUM($F$6:F50)</f>
        <v>2536848</v>
      </c>
      <c r="H50" s="45" t="s">
        <v>1271</v>
      </c>
      <c r="I50" s="27" t="str">
        <f aca="false">IF(COUNTIF(Cash_Book!$G$6:$G$304,C50)=0,"Not in books","In books")</f>
        <v>In books</v>
      </c>
    </row>
    <row r="51" customFormat="false" ht="15" hidden="false" customHeight="false" outlineLevel="0" collapsed="false">
      <c r="A51" s="41" t="n">
        <v>46149</v>
      </c>
      <c r="B51" s="45" t="s">
        <v>1318</v>
      </c>
      <c r="C51" s="5" t="s">
        <v>467</v>
      </c>
      <c r="D51" s="43"/>
      <c r="E51" s="43" t="n">
        <v>289772</v>
      </c>
      <c r="F51" s="44" t="n">
        <f aca="false">N(E51)-N(D51)</f>
        <v>289772</v>
      </c>
      <c r="G51" s="29" t="n">
        <f aca="false">Setup!$B$8+SUM($F$6:F51)</f>
        <v>2826620</v>
      </c>
      <c r="H51" s="45" t="s">
        <v>1273</v>
      </c>
      <c r="I51" s="27" t="str">
        <f aca="false">IF(COUNTIF(Cash_Book!$G$6:$G$304,C51)=0,"Not in books","In books")</f>
        <v>In books</v>
      </c>
    </row>
    <row r="52" customFormat="false" ht="15" hidden="false" customHeight="false" outlineLevel="0" collapsed="false">
      <c r="A52" s="41" t="n">
        <v>46151</v>
      </c>
      <c r="B52" s="45" t="s">
        <v>1319</v>
      </c>
      <c r="C52" s="5" t="s">
        <v>473</v>
      </c>
      <c r="D52" s="43"/>
      <c r="E52" s="43" t="n">
        <v>24347</v>
      </c>
      <c r="F52" s="44" t="n">
        <f aca="false">N(E52)-N(D52)</f>
        <v>24347</v>
      </c>
      <c r="G52" s="29" t="n">
        <f aca="false">Setup!$B$8+SUM($F$6:F52)</f>
        <v>2850967</v>
      </c>
      <c r="H52" s="45" t="s">
        <v>1273</v>
      </c>
      <c r="I52" s="27" t="str">
        <f aca="false">IF(COUNTIF(Cash_Book!$G$6:$G$304,C52)=0,"Not in books","In books")</f>
        <v>In books</v>
      </c>
    </row>
    <row r="53" customFormat="false" ht="15" hidden="false" customHeight="false" outlineLevel="0" collapsed="false">
      <c r="A53" s="41" t="n">
        <v>46152</v>
      </c>
      <c r="B53" s="45" t="s">
        <v>1320</v>
      </c>
      <c r="C53" s="5" t="s">
        <v>475</v>
      </c>
      <c r="D53" s="43"/>
      <c r="E53" s="43" t="n">
        <v>333354</v>
      </c>
      <c r="F53" s="44" t="n">
        <f aca="false">N(E53)-N(D53)</f>
        <v>333354</v>
      </c>
      <c r="G53" s="29" t="n">
        <f aca="false">Setup!$B$8+SUM($F$6:F53)</f>
        <v>3184321</v>
      </c>
      <c r="H53" s="45" t="s">
        <v>1273</v>
      </c>
      <c r="I53" s="27" t="str">
        <f aca="false">IF(COUNTIF(Cash_Book!$G$6:$G$304,C53)=0,"Not in books","In books")</f>
        <v>In books</v>
      </c>
    </row>
    <row r="54" customFormat="false" ht="15" hidden="false" customHeight="false" outlineLevel="0" collapsed="false">
      <c r="A54" s="41" t="n">
        <v>46152</v>
      </c>
      <c r="B54" s="45" t="s">
        <v>1321</v>
      </c>
      <c r="C54" s="5" t="s">
        <v>969</v>
      </c>
      <c r="D54" s="43" t="n">
        <v>2824000</v>
      </c>
      <c r="E54" s="43"/>
      <c r="F54" s="44" t="n">
        <f aca="false">N(E54)-N(D54)</f>
        <v>-2824000</v>
      </c>
      <c r="G54" s="29" t="n">
        <f aca="false">Setup!$B$8+SUM($F$6:F54)</f>
        <v>360321</v>
      </c>
      <c r="H54" s="45" t="s">
        <v>1275</v>
      </c>
      <c r="I54" s="27" t="str">
        <f aca="false">IF(COUNTIF(Cash_Book!$G$6:$G$304,C54)=0,"Not in books","In books")</f>
        <v>In books</v>
      </c>
    </row>
    <row r="55" customFormat="false" ht="15" hidden="false" customHeight="false" outlineLevel="0" collapsed="false">
      <c r="A55" s="41" t="n">
        <v>46153</v>
      </c>
      <c r="B55" s="45" t="s">
        <v>1322</v>
      </c>
      <c r="C55" s="5" t="s">
        <v>477</v>
      </c>
      <c r="D55" s="43"/>
      <c r="E55" s="43" t="n">
        <v>270089</v>
      </c>
      <c r="F55" s="44" t="n">
        <f aca="false">N(E55)-N(D55)</f>
        <v>270089</v>
      </c>
      <c r="G55" s="29" t="n">
        <f aca="false">Setup!$B$8+SUM($F$6:F55)</f>
        <v>630410</v>
      </c>
      <c r="H55" s="45" t="s">
        <v>1273</v>
      </c>
      <c r="I55" s="27" t="str">
        <f aca="false">IF(COUNTIF(Cash_Book!$G$6:$G$304,C55)=0,"Not in books","In books")</f>
        <v>In books</v>
      </c>
    </row>
    <row r="56" customFormat="false" ht="15" hidden="false" customHeight="false" outlineLevel="0" collapsed="false">
      <c r="A56" s="41" t="n">
        <v>46153</v>
      </c>
      <c r="B56" s="45" t="s">
        <v>1323</v>
      </c>
      <c r="C56" s="5" t="s">
        <v>479</v>
      </c>
      <c r="D56" s="43"/>
      <c r="E56" s="43" t="n">
        <v>502205</v>
      </c>
      <c r="F56" s="44" t="n">
        <f aca="false">N(E56)-N(D56)</f>
        <v>502205</v>
      </c>
      <c r="G56" s="29" t="n">
        <f aca="false">Setup!$B$8+SUM($F$6:F56)</f>
        <v>1132615</v>
      </c>
      <c r="H56" s="45" t="s">
        <v>1273</v>
      </c>
      <c r="I56" s="27" t="str">
        <f aca="false">IF(COUNTIF(Cash_Book!$G$6:$G$304,C56)=0,"Not in books","In books")</f>
        <v>In books</v>
      </c>
    </row>
    <row r="57" customFormat="false" ht="15" hidden="false" customHeight="false" outlineLevel="0" collapsed="false">
      <c r="A57" s="41" t="n">
        <v>46155</v>
      </c>
      <c r="B57" s="45" t="s">
        <v>1324</v>
      </c>
      <c r="C57" s="5" t="s">
        <v>481</v>
      </c>
      <c r="D57" s="43"/>
      <c r="E57" s="43" t="n">
        <v>363662</v>
      </c>
      <c r="F57" s="44" t="n">
        <f aca="false">N(E57)-N(D57)</f>
        <v>363662</v>
      </c>
      <c r="G57" s="29" t="n">
        <f aca="false">Setup!$B$8+SUM($F$6:F57)</f>
        <v>1496277</v>
      </c>
      <c r="H57" s="45" t="s">
        <v>1273</v>
      </c>
      <c r="I57" s="27" t="str">
        <f aca="false">IF(COUNTIF(Cash_Book!$G$6:$G$304,C57)=0,"Not in books","In books")</f>
        <v>In books</v>
      </c>
    </row>
    <row r="58" customFormat="false" ht="15" hidden="false" customHeight="false" outlineLevel="0" collapsed="false">
      <c r="A58" s="41" t="n">
        <v>46155</v>
      </c>
      <c r="B58" s="45" t="s">
        <v>1325</v>
      </c>
      <c r="C58" s="5" t="s">
        <v>977</v>
      </c>
      <c r="D58" s="43" t="n">
        <v>186944</v>
      </c>
      <c r="E58" s="43"/>
      <c r="F58" s="44" t="n">
        <f aca="false">N(E58)-N(D58)</f>
        <v>-186944</v>
      </c>
      <c r="G58" s="29" t="n">
        <f aca="false">Setup!$B$8+SUM($F$6:F58)</f>
        <v>1309333</v>
      </c>
      <c r="H58" s="45" t="s">
        <v>1269</v>
      </c>
      <c r="I58" s="27" t="str">
        <f aca="false">IF(COUNTIF(Cash_Book!$G$6:$G$304,C58)=0,"Not in books","In books")</f>
        <v>In books</v>
      </c>
    </row>
    <row r="59" customFormat="false" ht="15" hidden="false" customHeight="false" outlineLevel="0" collapsed="false">
      <c r="A59" s="41" t="n">
        <v>46157</v>
      </c>
      <c r="B59" s="45" t="s">
        <v>1326</v>
      </c>
      <c r="C59" s="5" t="s">
        <v>967</v>
      </c>
      <c r="D59" s="43" t="n">
        <v>173587</v>
      </c>
      <c r="E59" s="43"/>
      <c r="F59" s="44" t="n">
        <f aca="false">N(E59)-N(D59)</f>
        <v>-173587</v>
      </c>
      <c r="G59" s="29" t="n">
        <f aca="false">Setup!$B$8+SUM($F$6:F59)</f>
        <v>1135746</v>
      </c>
      <c r="H59" s="45" t="s">
        <v>1269</v>
      </c>
      <c r="I59" s="27" t="str">
        <f aca="false">IF(COUNTIF(Cash_Book!$G$6:$G$304,C59)=0,"Not in books","In books")</f>
        <v>In books</v>
      </c>
    </row>
    <row r="60" customFormat="false" ht="15" hidden="false" customHeight="false" outlineLevel="0" collapsed="false">
      <c r="A60" s="41" t="n">
        <v>46157</v>
      </c>
      <c r="B60" s="45" t="s">
        <v>1327</v>
      </c>
      <c r="C60" s="5" t="s">
        <v>483</v>
      </c>
      <c r="D60" s="43"/>
      <c r="E60" s="43" t="n">
        <v>107216</v>
      </c>
      <c r="F60" s="44" t="n">
        <f aca="false">N(E60)-N(D60)</f>
        <v>107216</v>
      </c>
      <c r="G60" s="29" t="n">
        <f aca="false">Setup!$B$8+SUM($F$6:F60)</f>
        <v>1242962</v>
      </c>
      <c r="H60" s="45" t="s">
        <v>1273</v>
      </c>
      <c r="I60" s="27" t="str">
        <f aca="false">IF(COUNTIF(Cash_Book!$G$6:$G$304,C60)=0,"Not in books","In books")</f>
        <v>In books</v>
      </c>
    </row>
    <row r="61" customFormat="false" ht="15" hidden="false" customHeight="false" outlineLevel="0" collapsed="false">
      <c r="A61" s="41" t="n">
        <v>46157</v>
      </c>
      <c r="B61" s="45" t="s">
        <v>1328</v>
      </c>
      <c r="C61" s="5" t="s">
        <v>485</v>
      </c>
      <c r="D61" s="43"/>
      <c r="E61" s="43" t="n">
        <v>73108</v>
      </c>
      <c r="F61" s="44" t="n">
        <f aca="false">N(E61)-N(D61)</f>
        <v>73108</v>
      </c>
      <c r="G61" s="29" t="n">
        <f aca="false">Setup!$B$8+SUM($F$6:F61)</f>
        <v>1316070</v>
      </c>
      <c r="H61" s="45" t="s">
        <v>1273</v>
      </c>
      <c r="I61" s="27" t="str">
        <f aca="false">IF(COUNTIF(Cash_Book!$G$6:$G$304,C61)=0,"Not in books","In books")</f>
        <v>In books</v>
      </c>
    </row>
    <row r="62" customFormat="false" ht="15" hidden="false" customHeight="false" outlineLevel="0" collapsed="false">
      <c r="A62" s="41" t="n">
        <v>46157</v>
      </c>
      <c r="B62" s="45" t="s">
        <v>1329</v>
      </c>
      <c r="C62" s="5" t="s">
        <v>491</v>
      </c>
      <c r="D62" s="43"/>
      <c r="E62" s="43" t="n">
        <v>51930</v>
      </c>
      <c r="F62" s="44" t="n">
        <f aca="false">N(E62)-N(D62)</f>
        <v>51930</v>
      </c>
      <c r="G62" s="29" t="n">
        <f aca="false">Setup!$B$8+SUM($F$6:F62)</f>
        <v>1368000</v>
      </c>
      <c r="H62" s="45" t="s">
        <v>1273</v>
      </c>
      <c r="I62" s="27" t="str">
        <f aca="false">IF(COUNTIF(Cash_Book!$G$6:$G$304,C62)=0,"Not in books","In books")</f>
        <v>In books</v>
      </c>
    </row>
    <row r="63" customFormat="false" ht="15" hidden="false" customHeight="false" outlineLevel="0" collapsed="false">
      <c r="A63" s="41" t="n">
        <v>46159</v>
      </c>
      <c r="B63" s="45" t="s">
        <v>1330</v>
      </c>
      <c r="C63" s="5" t="s">
        <v>974</v>
      </c>
      <c r="D63" s="43" t="n">
        <v>110197</v>
      </c>
      <c r="E63" s="43"/>
      <c r="F63" s="44" t="n">
        <f aca="false">N(E63)-N(D63)</f>
        <v>-110197</v>
      </c>
      <c r="G63" s="29" t="n">
        <f aca="false">Setup!$B$8+SUM($F$6:F63)</f>
        <v>1257803</v>
      </c>
      <c r="H63" s="45" t="s">
        <v>1269</v>
      </c>
      <c r="I63" s="27" t="str">
        <f aca="false">IF(COUNTIF(Cash_Book!$G$6:$G$304,C63)=0,"Not in books","In books")</f>
        <v>In books</v>
      </c>
    </row>
    <row r="64" customFormat="false" ht="15" hidden="false" customHeight="false" outlineLevel="0" collapsed="false">
      <c r="A64" s="41" t="n">
        <v>46159</v>
      </c>
      <c r="B64" s="45" t="s">
        <v>1331</v>
      </c>
      <c r="C64" s="5" t="s">
        <v>487</v>
      </c>
      <c r="D64" s="43"/>
      <c r="E64" s="43" t="n">
        <v>88115</v>
      </c>
      <c r="F64" s="44" t="n">
        <f aca="false">N(E64)-N(D64)</f>
        <v>88115</v>
      </c>
      <c r="G64" s="29" t="n">
        <f aca="false">Setup!$B$8+SUM($F$6:F64)</f>
        <v>1345918</v>
      </c>
      <c r="H64" s="45" t="s">
        <v>1273</v>
      </c>
      <c r="I64" s="27" t="str">
        <f aca="false">IF(COUNTIF(Cash_Book!$G$6:$G$304,C64)=0,"Not in books","In books")</f>
        <v>In books</v>
      </c>
    </row>
    <row r="65" customFormat="false" ht="15" hidden="false" customHeight="false" outlineLevel="0" collapsed="false">
      <c r="A65" s="41" t="n">
        <v>46159</v>
      </c>
      <c r="B65" s="45" t="s">
        <v>1332</v>
      </c>
      <c r="C65" s="5" t="s">
        <v>493</v>
      </c>
      <c r="D65" s="43"/>
      <c r="E65" s="43" t="n">
        <v>63474</v>
      </c>
      <c r="F65" s="44" t="n">
        <f aca="false">N(E65)-N(D65)</f>
        <v>63474</v>
      </c>
      <c r="G65" s="29" t="n">
        <f aca="false">Setup!$B$8+SUM($F$6:F65)</f>
        <v>1409392</v>
      </c>
      <c r="H65" s="45" t="s">
        <v>1273</v>
      </c>
      <c r="I65" s="27" t="str">
        <f aca="false">IF(COUNTIF(Cash_Book!$G$6:$G$304,C65)=0,"Not in books","In books")</f>
        <v>In books</v>
      </c>
    </row>
    <row r="66" customFormat="false" ht="15" hidden="false" customHeight="false" outlineLevel="0" collapsed="false">
      <c r="A66" s="41" t="n">
        <v>46159</v>
      </c>
      <c r="B66" s="45" t="s">
        <v>1333</v>
      </c>
      <c r="C66" s="5" t="s">
        <v>495</v>
      </c>
      <c r="D66" s="43"/>
      <c r="E66" s="43" t="n">
        <v>557656</v>
      </c>
      <c r="F66" s="44" t="n">
        <f aca="false">N(E66)-N(D66)</f>
        <v>557656</v>
      </c>
      <c r="G66" s="29" t="n">
        <f aca="false">Setup!$B$8+SUM($F$6:F66)</f>
        <v>1967048</v>
      </c>
      <c r="H66" s="45" t="s">
        <v>1273</v>
      </c>
      <c r="I66" s="27" t="str">
        <f aca="false">IF(COUNTIF(Cash_Book!$G$6:$G$304,C66)=0,"Not in books","In books")</f>
        <v>In books</v>
      </c>
    </row>
    <row r="67" customFormat="false" ht="15" hidden="false" customHeight="false" outlineLevel="0" collapsed="false">
      <c r="A67" s="41" t="n">
        <v>46160</v>
      </c>
      <c r="B67" s="45" t="s">
        <v>1334</v>
      </c>
      <c r="C67" s="5" t="s">
        <v>489</v>
      </c>
      <c r="D67" s="43"/>
      <c r="E67" s="43" t="n">
        <v>438704</v>
      </c>
      <c r="F67" s="44" t="n">
        <f aca="false">N(E67)-N(D67)</f>
        <v>438704</v>
      </c>
      <c r="G67" s="29" t="n">
        <f aca="false">Setup!$B$8+SUM($F$6:F67)</f>
        <v>2405752</v>
      </c>
      <c r="H67" s="45" t="s">
        <v>1273</v>
      </c>
      <c r="I67" s="27" t="str">
        <f aca="false">IF(COUNTIF(Cash_Book!$G$6:$G$304,C67)=0,"Not in books","In books")</f>
        <v>In books</v>
      </c>
    </row>
    <row r="68" customFormat="false" ht="15" hidden="false" customHeight="false" outlineLevel="0" collapsed="false">
      <c r="A68" s="41" t="n">
        <v>46162</v>
      </c>
      <c r="B68" s="45" t="s">
        <v>1335</v>
      </c>
      <c r="C68" s="5" t="s">
        <v>985</v>
      </c>
      <c r="D68" s="43" t="n">
        <v>200000</v>
      </c>
      <c r="E68" s="43"/>
      <c r="F68" s="44" t="n">
        <f aca="false">N(E68)-N(D68)</f>
        <v>-200000</v>
      </c>
      <c r="G68" s="29" t="n">
        <f aca="false">Setup!$B$8+SUM($F$6:F68)</f>
        <v>2205752</v>
      </c>
      <c r="H68" s="45" t="s">
        <v>1287</v>
      </c>
      <c r="I68" s="27" t="str">
        <f aca="false">IF(COUNTIF(Cash_Book!$G$6:$G$304,C68)=0,"Not in books","In books")</f>
        <v>In books</v>
      </c>
    </row>
    <row r="69" customFormat="false" ht="15" hidden="false" customHeight="false" outlineLevel="0" collapsed="false">
      <c r="A69" s="41" t="n">
        <v>46163</v>
      </c>
      <c r="B69" s="45" t="s">
        <v>1336</v>
      </c>
      <c r="C69" s="5" t="s">
        <v>501</v>
      </c>
      <c r="D69" s="43"/>
      <c r="E69" s="43" t="n">
        <v>361682</v>
      </c>
      <c r="F69" s="44" t="n">
        <f aca="false">N(E69)-N(D69)</f>
        <v>361682</v>
      </c>
      <c r="G69" s="29" t="n">
        <f aca="false">Setup!$B$8+SUM($F$6:F69)</f>
        <v>2567434</v>
      </c>
      <c r="H69" s="45" t="s">
        <v>1273</v>
      </c>
      <c r="I69" s="27" t="str">
        <f aca="false">IF(COUNTIF(Cash_Book!$G$6:$G$304,C69)=0,"Not in books","In books")</f>
        <v>In books</v>
      </c>
    </row>
    <row r="70" customFormat="false" ht="15" hidden="false" customHeight="false" outlineLevel="0" collapsed="false">
      <c r="A70" s="41" t="n">
        <v>46164</v>
      </c>
      <c r="B70" s="45" t="s">
        <v>1337</v>
      </c>
      <c r="C70" s="5" t="s">
        <v>497</v>
      </c>
      <c r="D70" s="43"/>
      <c r="E70" s="43" t="n">
        <v>177297</v>
      </c>
      <c r="F70" s="44" t="n">
        <f aca="false">N(E70)-N(D70)</f>
        <v>177297</v>
      </c>
      <c r="G70" s="29" t="n">
        <f aca="false">Setup!$B$8+SUM($F$6:F70)</f>
        <v>2744731</v>
      </c>
      <c r="H70" s="45" t="s">
        <v>1273</v>
      </c>
      <c r="I70" s="27" t="str">
        <f aca="false">IF(COUNTIF(Cash_Book!$G$6:$G$304,C70)=0,"Not in books","In books")</f>
        <v>In books</v>
      </c>
    </row>
    <row r="71" customFormat="false" ht="15" hidden="false" customHeight="false" outlineLevel="0" collapsed="false">
      <c r="A71" s="41" t="n">
        <v>46164</v>
      </c>
      <c r="B71" s="45" t="s">
        <v>1338</v>
      </c>
      <c r="C71" s="5" t="s">
        <v>505</v>
      </c>
      <c r="D71" s="43"/>
      <c r="E71" s="43" t="n">
        <v>232774</v>
      </c>
      <c r="F71" s="44" t="n">
        <f aca="false">N(E71)-N(D71)</f>
        <v>232774</v>
      </c>
      <c r="G71" s="29" t="n">
        <f aca="false">Setup!$B$8+SUM($F$6:F71)</f>
        <v>2977505</v>
      </c>
      <c r="H71" s="45" t="s">
        <v>1273</v>
      </c>
      <c r="I71" s="27" t="str">
        <f aca="false">IF(COUNTIF(Cash_Book!$G$6:$G$304,C71)=0,"Not in books","In books")</f>
        <v>In books</v>
      </c>
    </row>
    <row r="72" customFormat="false" ht="15" hidden="false" customHeight="false" outlineLevel="0" collapsed="false">
      <c r="A72" s="41" t="n">
        <v>46165</v>
      </c>
      <c r="B72" s="45" t="s">
        <v>1339</v>
      </c>
      <c r="C72" s="5" t="s">
        <v>499</v>
      </c>
      <c r="D72" s="43"/>
      <c r="E72" s="43" t="n">
        <v>290814</v>
      </c>
      <c r="F72" s="44" t="n">
        <f aca="false">N(E72)-N(D72)</f>
        <v>290814</v>
      </c>
      <c r="G72" s="29" t="n">
        <f aca="false">Setup!$B$8+SUM($F$6:F72)</f>
        <v>3268319</v>
      </c>
      <c r="H72" s="45" t="s">
        <v>1273</v>
      </c>
      <c r="I72" s="27" t="str">
        <f aca="false">IF(COUNTIF(Cash_Book!$G$6:$G$304,C72)=0,"Not in books","In books")</f>
        <v>In books</v>
      </c>
    </row>
    <row r="73" customFormat="false" ht="15" hidden="false" customHeight="false" outlineLevel="0" collapsed="false">
      <c r="A73" s="41" t="n">
        <v>46165</v>
      </c>
      <c r="B73" s="45" t="s">
        <v>1340</v>
      </c>
      <c r="C73" s="5" t="s">
        <v>507</v>
      </c>
      <c r="D73" s="43"/>
      <c r="E73" s="43" t="n">
        <v>85123</v>
      </c>
      <c r="F73" s="44" t="n">
        <f aca="false">N(E73)-N(D73)</f>
        <v>85123</v>
      </c>
      <c r="G73" s="29" t="n">
        <f aca="false">Setup!$B$8+SUM($F$6:F73)</f>
        <v>3353442</v>
      </c>
      <c r="H73" s="45" t="s">
        <v>1273</v>
      </c>
      <c r="I73" s="27" t="str">
        <f aca="false">IF(COUNTIF(Cash_Book!$G$6:$G$304,C73)=0,"Not in books","In books")</f>
        <v>In books</v>
      </c>
    </row>
    <row r="74" customFormat="false" ht="15" hidden="false" customHeight="false" outlineLevel="0" collapsed="false">
      <c r="A74" s="41" t="n">
        <v>46166</v>
      </c>
      <c r="B74" s="45" t="s">
        <v>1341</v>
      </c>
      <c r="C74" s="5" t="s">
        <v>503</v>
      </c>
      <c r="D74" s="43"/>
      <c r="E74" s="43" t="n">
        <v>321987</v>
      </c>
      <c r="F74" s="44" t="n">
        <f aca="false">N(E74)-N(D74)</f>
        <v>321987</v>
      </c>
      <c r="G74" s="29" t="n">
        <f aca="false">Setup!$B$8+SUM($F$6:F74)</f>
        <v>3675429</v>
      </c>
      <c r="H74" s="45" t="s">
        <v>1273</v>
      </c>
      <c r="I74" s="27" t="str">
        <f aca="false">IF(COUNTIF(Cash_Book!$G$6:$G$304,C74)=0,"Not in books","In books")</f>
        <v>In books</v>
      </c>
    </row>
    <row r="75" customFormat="false" ht="15" hidden="false" customHeight="false" outlineLevel="0" collapsed="false">
      <c r="A75" s="41" t="n">
        <v>46166</v>
      </c>
      <c r="B75" s="45" t="s">
        <v>1342</v>
      </c>
      <c r="C75" s="5" t="s">
        <v>509</v>
      </c>
      <c r="D75" s="43"/>
      <c r="E75" s="43" t="n">
        <v>260378</v>
      </c>
      <c r="F75" s="44" t="n">
        <f aca="false">N(E75)-N(D75)</f>
        <v>260378</v>
      </c>
      <c r="G75" s="29" t="n">
        <f aca="false">Setup!$B$8+SUM($F$6:F75)</f>
        <v>3935807</v>
      </c>
      <c r="H75" s="45" t="s">
        <v>1273</v>
      </c>
      <c r="I75" s="27" t="str">
        <f aca="false">IF(COUNTIF(Cash_Book!$G$6:$G$304,C75)=0,"Not in books","In books")</f>
        <v>In books</v>
      </c>
    </row>
    <row r="76" customFormat="false" ht="15" hidden="false" customHeight="false" outlineLevel="0" collapsed="false">
      <c r="A76" s="41" t="n">
        <v>46166</v>
      </c>
      <c r="B76" s="45" t="s">
        <v>1343</v>
      </c>
      <c r="C76" s="5" t="s">
        <v>993</v>
      </c>
      <c r="D76" s="43" t="n">
        <v>3652000</v>
      </c>
      <c r="E76" s="43"/>
      <c r="F76" s="44" t="n">
        <f aca="false">N(E76)-N(D76)</f>
        <v>-3652000</v>
      </c>
      <c r="G76" s="29" t="n">
        <f aca="false">Setup!$B$8+SUM($F$6:F76)</f>
        <v>283807</v>
      </c>
      <c r="H76" s="45" t="s">
        <v>1275</v>
      </c>
      <c r="I76" s="27" t="str">
        <f aca="false">IF(COUNTIF(Cash_Book!$G$6:$G$304,C76)=0,"Not in books","In books")</f>
        <v>In books</v>
      </c>
    </row>
    <row r="77" customFormat="false" ht="15" hidden="false" customHeight="false" outlineLevel="0" collapsed="false">
      <c r="A77" s="41" t="n">
        <v>46168</v>
      </c>
      <c r="B77" s="45" t="s">
        <v>1344</v>
      </c>
      <c r="C77" s="5" t="s">
        <v>511</v>
      </c>
      <c r="D77" s="43"/>
      <c r="E77" s="43" t="n">
        <v>115204</v>
      </c>
      <c r="F77" s="44" t="n">
        <f aca="false">N(E77)-N(D77)</f>
        <v>115204</v>
      </c>
      <c r="G77" s="29" t="n">
        <f aca="false">Setup!$B$8+SUM($F$6:F77)</f>
        <v>399011</v>
      </c>
      <c r="H77" s="45" t="s">
        <v>1273</v>
      </c>
      <c r="I77" s="27" t="str">
        <f aca="false">IF(COUNTIF(Cash_Book!$G$6:$G$304,C77)=0,"Not in books","In books")</f>
        <v>In books</v>
      </c>
    </row>
    <row r="78" customFormat="false" ht="15" hidden="false" customHeight="false" outlineLevel="0" collapsed="false">
      <c r="A78" s="41" t="n">
        <v>46168</v>
      </c>
      <c r="B78" s="45" t="s">
        <v>1345</v>
      </c>
      <c r="C78" s="5" t="s">
        <v>513</v>
      </c>
      <c r="D78" s="43"/>
      <c r="E78" s="43" t="n">
        <v>543226</v>
      </c>
      <c r="F78" s="44" t="n">
        <f aca="false">N(E78)-N(D78)</f>
        <v>543226</v>
      </c>
      <c r="G78" s="29" t="n">
        <f aca="false">Setup!$B$8+SUM($F$6:F78)</f>
        <v>942237</v>
      </c>
      <c r="H78" s="45" t="s">
        <v>1273</v>
      </c>
      <c r="I78" s="27" t="str">
        <f aca="false">IF(COUNTIF(Cash_Book!$G$6:$G$304,C78)=0,"Not in books","In books")</f>
        <v>In books</v>
      </c>
    </row>
    <row r="79" customFormat="false" ht="15" hidden="false" customHeight="false" outlineLevel="0" collapsed="false">
      <c r="A79" s="41" t="n">
        <v>46168</v>
      </c>
      <c r="B79" s="45" t="s">
        <v>1346</v>
      </c>
      <c r="C79" s="5" t="s">
        <v>515</v>
      </c>
      <c r="D79" s="43"/>
      <c r="E79" s="43" t="n">
        <v>53409</v>
      </c>
      <c r="F79" s="44" t="n">
        <f aca="false">N(E79)-N(D79)</f>
        <v>53409</v>
      </c>
      <c r="G79" s="29" t="n">
        <f aca="false">Setup!$B$8+SUM($F$6:F79)</f>
        <v>995646</v>
      </c>
      <c r="H79" s="45" t="s">
        <v>1273</v>
      </c>
      <c r="I79" s="27" t="str">
        <f aca="false">IF(COUNTIF(Cash_Book!$G$6:$G$304,C79)=0,"Not in books","In books")</f>
        <v>In books</v>
      </c>
    </row>
    <row r="80" customFormat="false" ht="15" hidden="false" customHeight="false" outlineLevel="0" collapsed="false">
      <c r="A80" s="41" t="n">
        <v>46168</v>
      </c>
      <c r="B80" s="45" t="s">
        <v>1347</v>
      </c>
      <c r="C80" s="5" t="s">
        <v>517</v>
      </c>
      <c r="D80" s="43"/>
      <c r="E80" s="43" t="n">
        <v>436376</v>
      </c>
      <c r="F80" s="44" t="n">
        <f aca="false">N(E80)-N(D80)</f>
        <v>436376</v>
      </c>
      <c r="G80" s="29" t="n">
        <f aca="false">Setup!$B$8+SUM($F$6:F80)</f>
        <v>1432022</v>
      </c>
      <c r="H80" s="45" t="s">
        <v>1273</v>
      </c>
      <c r="I80" s="27" t="str">
        <f aca="false">IF(COUNTIF(Cash_Book!$G$6:$G$304,C80)=0,"Not in books","In books")</f>
        <v>In books</v>
      </c>
    </row>
    <row r="81" customFormat="false" ht="15" hidden="false" customHeight="false" outlineLevel="0" collapsed="false">
      <c r="A81" s="41" t="n">
        <v>46168</v>
      </c>
      <c r="B81" s="45" t="s">
        <v>1348</v>
      </c>
      <c r="C81" s="5" t="s">
        <v>999</v>
      </c>
      <c r="D81" s="43" t="n">
        <v>149386</v>
      </c>
      <c r="E81" s="43"/>
      <c r="F81" s="44" t="n">
        <f aca="false">N(E81)-N(D81)</f>
        <v>-149386</v>
      </c>
      <c r="G81" s="29" t="n">
        <f aca="false">Setup!$B$8+SUM($F$6:F81)</f>
        <v>1282636</v>
      </c>
      <c r="H81" s="45" t="s">
        <v>1269</v>
      </c>
      <c r="I81" s="27" t="str">
        <f aca="false">IF(COUNTIF(Cash_Book!$G$6:$G$304,C81)=0,"Not in books","In books")</f>
        <v>In books</v>
      </c>
    </row>
    <row r="82" customFormat="false" ht="15" hidden="false" customHeight="false" outlineLevel="0" collapsed="false">
      <c r="A82" s="41" t="n">
        <v>46170</v>
      </c>
      <c r="B82" s="45" t="s">
        <v>1349</v>
      </c>
      <c r="C82" s="5" t="s">
        <v>519</v>
      </c>
      <c r="D82" s="43"/>
      <c r="E82" s="43" t="n">
        <v>142672</v>
      </c>
      <c r="F82" s="44" t="n">
        <f aca="false">N(E82)-N(D82)</f>
        <v>142672</v>
      </c>
      <c r="G82" s="29" t="n">
        <f aca="false">Setup!$B$8+SUM($F$6:F82)</f>
        <v>1425308</v>
      </c>
      <c r="H82" s="45" t="s">
        <v>1273</v>
      </c>
      <c r="I82" s="27" t="str">
        <f aca="false">IF(COUNTIF(Cash_Book!$G$6:$G$304,C82)=0,"Not in books","In books")</f>
        <v>In books</v>
      </c>
    </row>
    <row r="83" customFormat="false" ht="15" hidden="false" customHeight="false" outlineLevel="0" collapsed="false">
      <c r="A83" s="41" t="n">
        <v>46170</v>
      </c>
      <c r="B83" s="45" t="s">
        <v>1350</v>
      </c>
      <c r="C83" s="5" t="s">
        <v>521</v>
      </c>
      <c r="D83" s="43"/>
      <c r="E83" s="43" t="n">
        <v>141257</v>
      </c>
      <c r="F83" s="44" t="n">
        <f aca="false">N(E83)-N(D83)</f>
        <v>141257</v>
      </c>
      <c r="G83" s="29" t="n">
        <f aca="false">Setup!$B$8+SUM($F$6:F83)</f>
        <v>1566565</v>
      </c>
      <c r="H83" s="45" t="s">
        <v>1273</v>
      </c>
      <c r="I83" s="27" t="str">
        <f aca="false">IF(COUNTIF(Cash_Book!$G$6:$G$304,C83)=0,"Not in books","In books")</f>
        <v>In books</v>
      </c>
    </row>
    <row r="84" customFormat="false" ht="15" hidden="false" customHeight="false" outlineLevel="0" collapsed="false">
      <c r="A84" s="41" t="n">
        <v>46170</v>
      </c>
      <c r="B84" s="45" t="s">
        <v>1351</v>
      </c>
      <c r="C84" s="5" t="s">
        <v>523</v>
      </c>
      <c r="D84" s="43"/>
      <c r="E84" s="43" t="n">
        <v>129349</v>
      </c>
      <c r="F84" s="44" t="n">
        <f aca="false">N(E84)-N(D84)</f>
        <v>129349</v>
      </c>
      <c r="G84" s="29" t="n">
        <f aca="false">Setup!$B$8+SUM($F$6:F84)</f>
        <v>1695914</v>
      </c>
      <c r="H84" s="45" t="s">
        <v>1273</v>
      </c>
      <c r="I84" s="27" t="str">
        <f aca="false">IF(COUNTIF(Cash_Book!$G$6:$G$304,C84)=0,"Not in books","In books")</f>
        <v>In books</v>
      </c>
    </row>
    <row r="85" customFormat="false" ht="15" hidden="false" customHeight="false" outlineLevel="0" collapsed="false">
      <c r="A85" s="41" t="n">
        <v>46172</v>
      </c>
      <c r="B85" s="45" t="s">
        <v>1352</v>
      </c>
      <c r="C85" s="5" t="s">
        <v>527</v>
      </c>
      <c r="D85" s="43"/>
      <c r="E85" s="43" t="n">
        <v>234108</v>
      </c>
      <c r="F85" s="44" t="n">
        <f aca="false">N(E85)-N(D85)</f>
        <v>234108</v>
      </c>
      <c r="G85" s="29" t="n">
        <f aca="false">Setup!$B$8+SUM($F$6:F85)</f>
        <v>1930022</v>
      </c>
      <c r="H85" s="45" t="s">
        <v>1273</v>
      </c>
      <c r="I85" s="27" t="str">
        <f aca="false">IF(COUNTIF(Cash_Book!$G$6:$G$304,C85)=0,"Not in books","In books")</f>
        <v>In books</v>
      </c>
    </row>
    <row r="86" customFormat="false" ht="15" hidden="false" customHeight="false" outlineLevel="0" collapsed="false">
      <c r="A86" s="41" t="n">
        <v>46173</v>
      </c>
      <c r="B86" s="45" t="s">
        <v>1353</v>
      </c>
      <c r="C86" s="5" t="s">
        <v>529</v>
      </c>
      <c r="D86" s="43"/>
      <c r="E86" s="43" t="n">
        <v>563733</v>
      </c>
      <c r="F86" s="44" t="n">
        <f aca="false">N(E86)-N(D86)</f>
        <v>563733</v>
      </c>
      <c r="G86" s="29" t="n">
        <f aca="false">Setup!$B$8+SUM($F$6:F86)</f>
        <v>2493755</v>
      </c>
      <c r="H86" s="45" t="s">
        <v>1273</v>
      </c>
      <c r="I86" s="27" t="str">
        <f aca="false">IF(COUNTIF(Cash_Book!$G$6:$G$304,C86)=0,"Not in books","In books")</f>
        <v>In books</v>
      </c>
    </row>
    <row r="87" customFormat="false" ht="15" hidden="false" customHeight="false" outlineLevel="0" collapsed="false">
      <c r="A87" s="41" t="n">
        <v>46173</v>
      </c>
      <c r="B87" s="45" t="s">
        <v>1354</v>
      </c>
      <c r="C87" s="5" t="s">
        <v>531</v>
      </c>
      <c r="D87" s="43"/>
      <c r="E87" s="43" t="n">
        <v>169621</v>
      </c>
      <c r="F87" s="44" t="n">
        <f aca="false">N(E87)-N(D87)</f>
        <v>169621</v>
      </c>
      <c r="G87" s="29" t="n">
        <f aca="false">Setup!$B$8+SUM($F$6:F87)</f>
        <v>2663376</v>
      </c>
      <c r="H87" s="45" t="s">
        <v>1273</v>
      </c>
      <c r="I87" s="27" t="str">
        <f aca="false">IF(COUNTIF(Cash_Book!$G$6:$G$304,C87)=0,"Not in books","In books")</f>
        <v>In books</v>
      </c>
    </row>
    <row r="88" customFormat="false" ht="15" hidden="false" customHeight="false" outlineLevel="0" collapsed="false">
      <c r="A88" s="41" t="n">
        <v>46173</v>
      </c>
      <c r="B88" s="45" t="s">
        <v>1355</v>
      </c>
      <c r="C88" s="5" t="s">
        <v>1012</v>
      </c>
      <c r="D88" s="43" t="n">
        <v>604</v>
      </c>
      <c r="E88" s="43"/>
      <c r="F88" s="44" t="n">
        <f aca="false">N(E88)-N(D88)</f>
        <v>-604</v>
      </c>
      <c r="G88" s="29" t="n">
        <f aca="false">Setup!$B$8+SUM($F$6:F88)</f>
        <v>2662772</v>
      </c>
      <c r="H88" s="45" t="s">
        <v>1308</v>
      </c>
      <c r="I88" s="27" t="str">
        <f aca="false">IF(COUNTIF(Cash_Book!$G$6:$G$304,C88)=0,"Not in books","In books")</f>
        <v>In books</v>
      </c>
    </row>
    <row r="89" customFormat="false" ht="15" hidden="false" customHeight="false" outlineLevel="0" collapsed="false">
      <c r="A89" s="41" t="n">
        <v>46174</v>
      </c>
      <c r="B89" s="45" t="s">
        <v>1356</v>
      </c>
      <c r="C89" s="5" t="s">
        <v>525</v>
      </c>
      <c r="D89" s="43"/>
      <c r="E89" s="43" t="n">
        <v>489018</v>
      </c>
      <c r="F89" s="44" t="n">
        <f aca="false">N(E89)-N(D89)</f>
        <v>489018</v>
      </c>
      <c r="G89" s="29" t="n">
        <f aca="false">Setup!$B$8+SUM($F$6:F89)</f>
        <v>3151790</v>
      </c>
      <c r="H89" s="45" t="s">
        <v>1273</v>
      </c>
      <c r="I89" s="27" t="str">
        <f aca="false">IF(COUNTIF(Cash_Book!$G$6:$G$304,C89)=0,"Not in books","In books")</f>
        <v>In books</v>
      </c>
    </row>
    <row r="90" customFormat="false" ht="15" hidden="false" customHeight="false" outlineLevel="0" collapsed="false">
      <c r="A90" s="41" t="n">
        <v>46174</v>
      </c>
      <c r="B90" s="45" t="s">
        <v>1357</v>
      </c>
      <c r="C90" s="5" t="s">
        <v>1015</v>
      </c>
      <c r="D90" s="43" t="n">
        <v>340000</v>
      </c>
      <c r="E90" s="43"/>
      <c r="F90" s="44" t="n">
        <f aca="false">N(E90)-N(D90)</f>
        <v>-340000</v>
      </c>
      <c r="G90" s="29" t="n">
        <f aca="false">Setup!$B$8+SUM($F$6:F90)</f>
        <v>2811790</v>
      </c>
      <c r="H90" s="45" t="s">
        <v>1267</v>
      </c>
      <c r="I90" s="27" t="str">
        <f aca="false">IF(COUNTIF(Cash_Book!$G$6:$G$304,C90)=0,"Not in books","In books")</f>
        <v>In books</v>
      </c>
    </row>
    <row r="91" customFormat="false" ht="15" hidden="false" customHeight="false" outlineLevel="0" collapsed="false">
      <c r="A91" s="41" t="n">
        <v>46175</v>
      </c>
      <c r="B91" s="45" t="s">
        <v>1358</v>
      </c>
      <c r="C91" s="5" t="s">
        <v>1006</v>
      </c>
      <c r="D91" s="43" t="n">
        <v>42658</v>
      </c>
      <c r="E91" s="43"/>
      <c r="F91" s="44" t="n">
        <f aca="false">N(E91)-N(D91)</f>
        <v>-42658</v>
      </c>
      <c r="G91" s="29" t="n">
        <f aca="false">Setup!$B$8+SUM($F$6:F91)</f>
        <v>2769132</v>
      </c>
      <c r="H91" s="45" t="s">
        <v>1269</v>
      </c>
      <c r="I91" s="27" t="str">
        <f aca="false">IF(COUNTIF(Cash_Book!$G$6:$G$304,C91)=0,"Not in books","In books")</f>
        <v>In books</v>
      </c>
    </row>
    <row r="92" customFormat="false" ht="15" hidden="false" customHeight="false" outlineLevel="0" collapsed="false">
      <c r="A92" s="41" t="n">
        <v>46176</v>
      </c>
      <c r="B92" s="45" t="s">
        <v>1359</v>
      </c>
      <c r="C92" s="5" t="s">
        <v>539</v>
      </c>
      <c r="D92" s="43"/>
      <c r="E92" s="43" t="n">
        <v>47572</v>
      </c>
      <c r="F92" s="44" t="n">
        <f aca="false">N(E92)-N(D92)</f>
        <v>47572</v>
      </c>
      <c r="G92" s="29" t="n">
        <f aca="false">Setup!$B$8+SUM($F$6:F92)</f>
        <v>2816704</v>
      </c>
      <c r="H92" s="45" t="s">
        <v>1273</v>
      </c>
      <c r="I92" s="27" t="str">
        <f aca="false">IF(COUNTIF(Cash_Book!$G$6:$G$304,C92)=0,"Not in books","In books")</f>
        <v>In books</v>
      </c>
    </row>
    <row r="93" customFormat="false" ht="15" hidden="false" customHeight="false" outlineLevel="0" collapsed="false">
      <c r="A93" s="41" t="n">
        <v>46177</v>
      </c>
      <c r="B93" s="45" t="s">
        <v>1360</v>
      </c>
      <c r="C93" s="5" t="s">
        <v>533</v>
      </c>
      <c r="D93" s="43"/>
      <c r="E93" s="43" t="n">
        <v>264218</v>
      </c>
      <c r="F93" s="44" t="n">
        <f aca="false">N(E93)-N(D93)</f>
        <v>264218</v>
      </c>
      <c r="G93" s="29" t="n">
        <f aca="false">Setup!$B$8+SUM($F$6:F93)</f>
        <v>3080922</v>
      </c>
      <c r="H93" s="45" t="s">
        <v>1273</v>
      </c>
      <c r="I93" s="27" t="str">
        <f aca="false">IF(COUNTIF(Cash_Book!$G$6:$G$304,C93)=0,"Not in books","In books")</f>
        <v>In books</v>
      </c>
    </row>
    <row r="94" customFormat="false" ht="15" hidden="false" customHeight="false" outlineLevel="0" collapsed="false">
      <c r="A94" s="41" t="n">
        <v>46177</v>
      </c>
      <c r="B94" s="45" t="s">
        <v>1361</v>
      </c>
      <c r="C94" s="5" t="s">
        <v>535</v>
      </c>
      <c r="D94" s="43"/>
      <c r="E94" s="43" t="n">
        <v>581952</v>
      </c>
      <c r="F94" s="44" t="n">
        <f aca="false">N(E94)-N(D94)</f>
        <v>581952</v>
      </c>
      <c r="G94" s="29" t="n">
        <f aca="false">Setup!$B$8+SUM($F$6:F94)</f>
        <v>3662874</v>
      </c>
      <c r="H94" s="45" t="s">
        <v>1273</v>
      </c>
      <c r="I94" s="27" t="str">
        <f aca="false">IF(COUNTIF(Cash_Book!$G$6:$G$304,C94)=0,"Not in books","In books")</f>
        <v>In books</v>
      </c>
    </row>
    <row r="95" customFormat="false" ht="15" hidden="false" customHeight="false" outlineLevel="0" collapsed="false">
      <c r="A95" s="41" t="n">
        <v>46177</v>
      </c>
      <c r="B95" s="45" t="s">
        <v>1362</v>
      </c>
      <c r="C95" s="5" t="s">
        <v>537</v>
      </c>
      <c r="D95" s="43"/>
      <c r="E95" s="43" t="n">
        <v>194490</v>
      </c>
      <c r="F95" s="44" t="n">
        <f aca="false">N(E95)-N(D95)</f>
        <v>194490</v>
      </c>
      <c r="G95" s="29" t="n">
        <f aca="false">Setup!$B$8+SUM($F$6:F95)</f>
        <v>3857364</v>
      </c>
      <c r="H95" s="45" t="s">
        <v>1273</v>
      </c>
      <c r="I95" s="27" t="str">
        <f aca="false">IF(COUNTIF(Cash_Book!$G$6:$G$304,C95)=0,"Not in books","In books")</f>
        <v>In books</v>
      </c>
    </row>
    <row r="96" customFormat="false" ht="15" hidden="false" customHeight="false" outlineLevel="0" collapsed="false">
      <c r="A96" s="41" t="n">
        <v>46177</v>
      </c>
      <c r="B96" s="45" t="s">
        <v>1363</v>
      </c>
      <c r="C96" s="5" t="s">
        <v>543</v>
      </c>
      <c r="D96" s="43"/>
      <c r="E96" s="43" t="n">
        <v>287113</v>
      </c>
      <c r="F96" s="44" t="n">
        <f aca="false">N(E96)-N(D96)</f>
        <v>287113</v>
      </c>
      <c r="G96" s="29" t="n">
        <f aca="false">Setup!$B$8+SUM($F$6:F96)</f>
        <v>4144477</v>
      </c>
      <c r="H96" s="45" t="s">
        <v>1273</v>
      </c>
      <c r="I96" s="27" t="str">
        <f aca="false">IF(COUNTIF(Cash_Book!$G$6:$G$304,C96)=0,"Not in books","In books")</f>
        <v>In books</v>
      </c>
    </row>
    <row r="97" customFormat="false" ht="15" hidden="false" customHeight="false" outlineLevel="0" collapsed="false">
      <c r="A97" s="41" t="n">
        <v>46177</v>
      </c>
      <c r="B97" s="45" t="s">
        <v>1364</v>
      </c>
      <c r="C97" s="5" t="s">
        <v>545</v>
      </c>
      <c r="D97" s="43"/>
      <c r="E97" s="43" t="n">
        <v>151544</v>
      </c>
      <c r="F97" s="44" t="n">
        <f aca="false">N(E97)-N(D97)</f>
        <v>151544</v>
      </c>
      <c r="G97" s="29" t="n">
        <f aca="false">Setup!$B$8+SUM($F$6:F97)</f>
        <v>4296021</v>
      </c>
      <c r="H97" s="45" t="s">
        <v>1273</v>
      </c>
      <c r="I97" s="27" t="str">
        <f aca="false">IF(COUNTIF(Cash_Book!$G$6:$G$304,C97)=0,"Not in books","In books")</f>
        <v>In books</v>
      </c>
    </row>
    <row r="98" customFormat="false" ht="15" hidden="false" customHeight="false" outlineLevel="0" collapsed="false">
      <c r="A98" s="41" t="n">
        <v>46178</v>
      </c>
      <c r="B98" s="45" t="s">
        <v>1365</v>
      </c>
      <c r="C98" s="5" t="s">
        <v>541</v>
      </c>
      <c r="D98" s="43"/>
      <c r="E98" s="43" t="n">
        <v>74780</v>
      </c>
      <c r="F98" s="44" t="n">
        <f aca="false">N(E98)-N(D98)</f>
        <v>74780</v>
      </c>
      <c r="G98" s="29" t="n">
        <f aca="false">Setup!$B$8+SUM($F$6:F98)</f>
        <v>4370801</v>
      </c>
      <c r="H98" s="45" t="s">
        <v>1273</v>
      </c>
      <c r="I98" s="27" t="str">
        <f aca="false">IF(COUNTIF(Cash_Book!$G$6:$G$304,C98)=0,"Not in books","In books")</f>
        <v>In books</v>
      </c>
    </row>
    <row r="99" customFormat="false" ht="15" hidden="false" customHeight="false" outlineLevel="0" collapsed="false">
      <c r="A99" s="41" t="n">
        <v>46178</v>
      </c>
      <c r="B99" s="45" t="s">
        <v>1366</v>
      </c>
      <c r="C99" s="5" t="s">
        <v>547</v>
      </c>
      <c r="D99" s="43"/>
      <c r="E99" s="43" t="n">
        <v>134531</v>
      </c>
      <c r="F99" s="44" t="n">
        <f aca="false">N(E99)-N(D99)</f>
        <v>134531</v>
      </c>
      <c r="G99" s="29" t="n">
        <f aca="false">Setup!$B$8+SUM($F$6:F99)</f>
        <v>4505332</v>
      </c>
      <c r="H99" s="45" t="s">
        <v>1273</v>
      </c>
      <c r="I99" s="27" t="str">
        <f aca="false">IF(COUNTIF(Cash_Book!$G$6:$G$304,C99)=0,"Not in books","In books")</f>
        <v>In books</v>
      </c>
    </row>
    <row r="100" customFormat="false" ht="15" hidden="false" customHeight="false" outlineLevel="0" collapsed="false">
      <c r="A100" s="41" t="n">
        <v>46178</v>
      </c>
      <c r="B100" s="45" t="s">
        <v>1367</v>
      </c>
      <c r="C100" s="5" t="s">
        <v>549</v>
      </c>
      <c r="D100" s="43"/>
      <c r="E100" s="43" t="n">
        <v>226045</v>
      </c>
      <c r="F100" s="44" t="n">
        <f aca="false">N(E100)-N(D100)</f>
        <v>226045</v>
      </c>
      <c r="G100" s="29" t="n">
        <f aca="false">Setup!$B$8+SUM($F$6:F100)</f>
        <v>4731377</v>
      </c>
      <c r="H100" s="45" t="s">
        <v>1273</v>
      </c>
      <c r="I100" s="27" t="str">
        <f aca="false">IF(COUNTIF(Cash_Book!$G$6:$G$304,C100)=0,"Not in books","In books")</f>
        <v>In books</v>
      </c>
    </row>
    <row r="101" customFormat="false" ht="15" hidden="false" customHeight="false" outlineLevel="0" collapsed="false">
      <c r="A101" s="41" t="n">
        <v>46179</v>
      </c>
      <c r="B101" s="45" t="s">
        <v>1368</v>
      </c>
      <c r="C101" s="5" t="s">
        <v>551</v>
      </c>
      <c r="D101" s="43"/>
      <c r="E101" s="43" t="n">
        <v>304058</v>
      </c>
      <c r="F101" s="44" t="n">
        <f aca="false">N(E101)-N(D101)</f>
        <v>304058</v>
      </c>
      <c r="G101" s="29" t="n">
        <f aca="false">Setup!$B$8+SUM($F$6:F101)</f>
        <v>5035435</v>
      </c>
      <c r="H101" s="45" t="s">
        <v>1273</v>
      </c>
      <c r="I101" s="27" t="str">
        <f aca="false">IF(COUNTIF(Cash_Book!$G$6:$G$304,C101)=0,"Not in books","In books")</f>
        <v>In books</v>
      </c>
    </row>
    <row r="102" customFormat="false" ht="15" hidden="false" customHeight="false" outlineLevel="0" collapsed="false">
      <c r="A102" s="41" t="n">
        <v>46179</v>
      </c>
      <c r="B102" s="45" t="s">
        <v>1369</v>
      </c>
      <c r="C102" s="5" t="s">
        <v>1027</v>
      </c>
      <c r="D102" s="43" t="n">
        <v>95000</v>
      </c>
      <c r="E102" s="43"/>
      <c r="F102" s="44" t="n">
        <f aca="false">N(E102)-N(D102)</f>
        <v>-95000</v>
      </c>
      <c r="G102" s="29" t="n">
        <f aca="false">Setup!$B$8+SUM($F$6:F102)</f>
        <v>4940435</v>
      </c>
      <c r="H102" s="45" t="s">
        <v>1271</v>
      </c>
      <c r="I102" s="27" t="str">
        <f aca="false">IF(COUNTIF(Cash_Book!$G$6:$G$304,C102)=0,"Not in books","In books")</f>
        <v>In books</v>
      </c>
    </row>
    <row r="103" customFormat="false" ht="15" hidden="false" customHeight="false" outlineLevel="0" collapsed="false">
      <c r="A103" s="41" t="n">
        <v>46180</v>
      </c>
      <c r="B103" s="45" t="s">
        <v>1370</v>
      </c>
      <c r="C103" s="5" t="s">
        <v>553</v>
      </c>
      <c r="D103" s="43"/>
      <c r="E103" s="43" t="n">
        <v>414607</v>
      </c>
      <c r="F103" s="44" t="n">
        <f aca="false">N(E103)-N(D103)</f>
        <v>414607</v>
      </c>
      <c r="G103" s="29" t="n">
        <f aca="false">Setup!$B$8+SUM($F$6:F103)</f>
        <v>5355042</v>
      </c>
      <c r="H103" s="45" t="s">
        <v>1273</v>
      </c>
      <c r="I103" s="27" t="str">
        <f aca="false">IF(COUNTIF(Cash_Book!$G$6:$G$304,C103)=0,"Not in books","In books")</f>
        <v>In books</v>
      </c>
    </row>
    <row r="104" customFormat="false" ht="15" hidden="false" customHeight="false" outlineLevel="0" collapsed="false">
      <c r="A104" s="41" t="n">
        <v>46182</v>
      </c>
      <c r="B104" s="45" t="s">
        <v>1371</v>
      </c>
      <c r="C104" s="5" t="s">
        <v>559</v>
      </c>
      <c r="D104" s="43"/>
      <c r="E104" s="43" t="n">
        <v>400228</v>
      </c>
      <c r="F104" s="44" t="n">
        <f aca="false">N(E104)-N(D104)</f>
        <v>400228</v>
      </c>
      <c r="G104" s="29" t="n">
        <f aca="false">Setup!$B$8+SUM($F$6:F104)</f>
        <v>5755270</v>
      </c>
      <c r="H104" s="45" t="s">
        <v>1273</v>
      </c>
      <c r="I104" s="27" t="str">
        <f aca="false">IF(COUNTIF(Cash_Book!$G$6:$G$304,C104)=0,"Not in books","In books")</f>
        <v>In books</v>
      </c>
    </row>
    <row r="105" customFormat="false" ht="15" hidden="false" customHeight="false" outlineLevel="0" collapsed="false">
      <c r="A105" s="41" t="n">
        <v>46183</v>
      </c>
      <c r="B105" s="45" t="s">
        <v>1372</v>
      </c>
      <c r="C105" s="5" t="s">
        <v>555</v>
      </c>
      <c r="D105" s="43"/>
      <c r="E105" s="43" t="n">
        <v>115427</v>
      </c>
      <c r="F105" s="44" t="n">
        <f aca="false">N(E105)-N(D105)</f>
        <v>115427</v>
      </c>
      <c r="G105" s="29" t="n">
        <f aca="false">Setup!$B$8+SUM($F$6:F105)</f>
        <v>5870697</v>
      </c>
      <c r="H105" s="45" t="s">
        <v>1273</v>
      </c>
      <c r="I105" s="27" t="str">
        <f aca="false">IF(COUNTIF(Cash_Book!$G$6:$G$304,C105)=0,"Not in books","In books")</f>
        <v>In books</v>
      </c>
    </row>
    <row r="106" customFormat="false" ht="15" hidden="false" customHeight="false" outlineLevel="0" collapsed="false">
      <c r="A106" s="41" t="n">
        <v>46183</v>
      </c>
      <c r="B106" s="45" t="s">
        <v>1373</v>
      </c>
      <c r="C106" s="5" t="s">
        <v>1031</v>
      </c>
      <c r="D106" s="43" t="n">
        <v>5672000</v>
      </c>
      <c r="E106" s="43"/>
      <c r="F106" s="44" t="n">
        <f aca="false">N(E106)-N(D106)</f>
        <v>-5672000</v>
      </c>
      <c r="G106" s="29" t="n">
        <f aca="false">Setup!$B$8+SUM($F$6:F106)</f>
        <v>198697</v>
      </c>
      <c r="H106" s="45" t="s">
        <v>1275</v>
      </c>
      <c r="I106" s="27" t="str">
        <f aca="false">IF(COUNTIF(Cash_Book!$G$6:$G$304,C106)=0,"Not in books","In books")</f>
        <v>In books</v>
      </c>
    </row>
    <row r="107" customFormat="false" ht="15" hidden="false" customHeight="false" outlineLevel="0" collapsed="false">
      <c r="A107" s="41" t="n">
        <v>46184</v>
      </c>
      <c r="B107" s="45" t="s">
        <v>1374</v>
      </c>
      <c r="C107" s="5" t="s">
        <v>557</v>
      </c>
      <c r="D107" s="43"/>
      <c r="E107" s="43" t="n">
        <v>380559</v>
      </c>
      <c r="F107" s="44" t="n">
        <f aca="false">N(E107)-N(D107)</f>
        <v>380559</v>
      </c>
      <c r="G107" s="29" t="n">
        <f aca="false">Setup!$B$8+SUM($F$6:F107)</f>
        <v>579256</v>
      </c>
      <c r="H107" s="45" t="s">
        <v>1273</v>
      </c>
      <c r="I107" s="27" t="str">
        <f aca="false">IF(COUNTIF(Cash_Book!$G$6:$G$304,C107)=0,"Not in books","In books")</f>
        <v>In books</v>
      </c>
    </row>
    <row r="108" customFormat="false" ht="15" hidden="false" customHeight="false" outlineLevel="0" collapsed="false">
      <c r="A108" s="41" t="n">
        <v>46184</v>
      </c>
      <c r="B108" s="45" t="s">
        <v>1375</v>
      </c>
      <c r="C108" s="5" t="s">
        <v>563</v>
      </c>
      <c r="D108" s="43"/>
      <c r="E108" s="43" t="n">
        <v>384384</v>
      </c>
      <c r="F108" s="44" t="n">
        <f aca="false">N(E108)-N(D108)</f>
        <v>384384</v>
      </c>
      <c r="G108" s="29" t="n">
        <f aca="false">Setup!$B$8+SUM($F$6:F108)</f>
        <v>963640</v>
      </c>
      <c r="H108" s="45" t="s">
        <v>1273</v>
      </c>
      <c r="I108" s="27" t="str">
        <f aca="false">IF(COUNTIF(Cash_Book!$G$6:$G$304,C108)=0,"Not in books","In books")</f>
        <v>In books</v>
      </c>
    </row>
    <row r="109" customFormat="false" ht="15" hidden="false" customHeight="false" outlineLevel="0" collapsed="false">
      <c r="A109" s="41" t="n">
        <v>46185</v>
      </c>
      <c r="B109" s="45" t="s">
        <v>1376</v>
      </c>
      <c r="C109" s="5" t="s">
        <v>561</v>
      </c>
      <c r="D109" s="43"/>
      <c r="E109" s="43" t="n">
        <v>34378</v>
      </c>
      <c r="F109" s="44" t="n">
        <f aca="false">N(E109)-N(D109)</f>
        <v>34378</v>
      </c>
      <c r="G109" s="29" t="n">
        <f aca="false">Setup!$B$8+SUM($F$6:F109)</f>
        <v>998018</v>
      </c>
      <c r="H109" s="45" t="s">
        <v>1273</v>
      </c>
      <c r="I109" s="27" t="str">
        <f aca="false">IF(COUNTIF(Cash_Book!$G$6:$G$304,C109)=0,"Not in books","In books")</f>
        <v>In books</v>
      </c>
    </row>
    <row r="110" customFormat="false" ht="15" hidden="false" customHeight="false" outlineLevel="0" collapsed="false">
      <c r="A110" s="41" t="n">
        <v>46187</v>
      </c>
      <c r="B110" s="45" t="s">
        <v>1377</v>
      </c>
      <c r="C110" s="5" t="s">
        <v>567</v>
      </c>
      <c r="D110" s="43"/>
      <c r="E110" s="43" t="n">
        <v>163329</v>
      </c>
      <c r="F110" s="44" t="n">
        <f aca="false">N(E110)-N(D110)</f>
        <v>163329</v>
      </c>
      <c r="G110" s="29" t="n">
        <f aca="false">Setup!$B$8+SUM($F$6:F110)</f>
        <v>1161347</v>
      </c>
      <c r="H110" s="45" t="s">
        <v>1273</v>
      </c>
      <c r="I110" s="27" t="str">
        <f aca="false">IF(COUNTIF(Cash_Book!$G$6:$G$304,C110)=0,"Not in books","In books")</f>
        <v>In books</v>
      </c>
    </row>
    <row r="111" customFormat="false" ht="15" hidden="false" customHeight="false" outlineLevel="0" collapsed="false">
      <c r="A111" s="41" t="n">
        <v>46187</v>
      </c>
      <c r="B111" s="45" t="s">
        <v>1378</v>
      </c>
      <c r="C111" s="5" t="s">
        <v>569</v>
      </c>
      <c r="D111" s="43"/>
      <c r="E111" s="43" t="n">
        <v>227490</v>
      </c>
      <c r="F111" s="44" t="n">
        <f aca="false">N(E111)-N(D111)</f>
        <v>227490</v>
      </c>
      <c r="G111" s="29" t="n">
        <f aca="false">Setup!$B$8+SUM($F$6:F111)</f>
        <v>1388837</v>
      </c>
      <c r="H111" s="45" t="s">
        <v>1273</v>
      </c>
      <c r="I111" s="27" t="str">
        <f aca="false">IF(COUNTIF(Cash_Book!$G$6:$G$304,C111)=0,"Not in books","In books")</f>
        <v>In books</v>
      </c>
    </row>
    <row r="112" customFormat="false" ht="15" hidden="false" customHeight="false" outlineLevel="0" collapsed="false">
      <c r="A112" s="41" t="n">
        <v>46188</v>
      </c>
      <c r="B112" s="45" t="s">
        <v>1379</v>
      </c>
      <c r="C112" s="5" t="s">
        <v>575</v>
      </c>
      <c r="D112" s="43"/>
      <c r="E112" s="43" t="n">
        <v>116143</v>
      </c>
      <c r="F112" s="44" t="n">
        <f aca="false">N(E112)-N(D112)</f>
        <v>116143</v>
      </c>
      <c r="G112" s="29" t="n">
        <f aca="false">Setup!$B$8+SUM($F$6:F112)</f>
        <v>1504980</v>
      </c>
      <c r="H112" s="45" t="s">
        <v>1273</v>
      </c>
      <c r="I112" s="27" t="str">
        <f aca="false">IF(COUNTIF(Cash_Book!$G$6:$G$304,C112)=0,"Not in books","In books")</f>
        <v>In books</v>
      </c>
    </row>
    <row r="113" customFormat="false" ht="15" hidden="false" customHeight="false" outlineLevel="0" collapsed="false">
      <c r="A113" s="41" t="n">
        <v>46189</v>
      </c>
      <c r="B113" s="45" t="s">
        <v>1380</v>
      </c>
      <c r="C113" s="5" t="s">
        <v>565</v>
      </c>
      <c r="D113" s="43"/>
      <c r="E113" s="43" t="n">
        <v>113653</v>
      </c>
      <c r="F113" s="44" t="n">
        <f aca="false">N(E113)-N(D113)</f>
        <v>113653</v>
      </c>
      <c r="G113" s="29" t="n">
        <f aca="false">Setup!$B$8+SUM($F$6:F113)</f>
        <v>1618633</v>
      </c>
      <c r="H113" s="45" t="s">
        <v>1273</v>
      </c>
      <c r="I113" s="27" t="str">
        <f aca="false">IF(COUNTIF(Cash_Book!$G$6:$G$304,C113)=0,"Not in books","In books")</f>
        <v>In books</v>
      </c>
    </row>
    <row r="114" customFormat="false" ht="15" hidden="false" customHeight="false" outlineLevel="0" collapsed="false">
      <c r="A114" s="41" t="n">
        <v>46189</v>
      </c>
      <c r="B114" s="45" t="s">
        <v>1381</v>
      </c>
      <c r="C114" s="5" t="s">
        <v>571</v>
      </c>
      <c r="D114" s="43"/>
      <c r="E114" s="43" t="n">
        <v>454559</v>
      </c>
      <c r="F114" s="44" t="n">
        <f aca="false">N(E114)-N(D114)</f>
        <v>454559</v>
      </c>
      <c r="G114" s="29" t="n">
        <f aca="false">Setup!$B$8+SUM($F$6:F114)</f>
        <v>2073192</v>
      </c>
      <c r="H114" s="45" t="s">
        <v>1273</v>
      </c>
      <c r="I114" s="27" t="str">
        <f aca="false">IF(COUNTIF(Cash_Book!$G$6:$G$304,C114)=0,"Not in books","In books")</f>
        <v>In books</v>
      </c>
    </row>
    <row r="115" customFormat="false" ht="15" hidden="false" customHeight="false" outlineLevel="0" collapsed="false">
      <c r="A115" s="41" t="n">
        <v>46189</v>
      </c>
      <c r="B115" s="45" t="s">
        <v>1382</v>
      </c>
      <c r="C115" s="5" t="s">
        <v>573</v>
      </c>
      <c r="D115" s="43"/>
      <c r="E115" s="43" t="n">
        <v>110323</v>
      </c>
      <c r="F115" s="44" t="n">
        <f aca="false">N(E115)-N(D115)</f>
        <v>110323</v>
      </c>
      <c r="G115" s="29" t="n">
        <f aca="false">Setup!$B$8+SUM($F$6:F115)</f>
        <v>2183515</v>
      </c>
      <c r="H115" s="45" t="s">
        <v>1273</v>
      </c>
      <c r="I115" s="27" t="str">
        <f aca="false">IF(COUNTIF(Cash_Book!$G$6:$G$304,C115)=0,"Not in books","In books")</f>
        <v>In books</v>
      </c>
    </row>
    <row r="116" customFormat="false" ht="15" hidden="false" customHeight="false" outlineLevel="0" collapsed="false">
      <c r="A116" s="41" t="n">
        <v>46189</v>
      </c>
      <c r="B116" s="45" t="s">
        <v>1383</v>
      </c>
      <c r="C116" s="5" t="s">
        <v>577</v>
      </c>
      <c r="D116" s="43"/>
      <c r="E116" s="43" t="n">
        <v>221444</v>
      </c>
      <c r="F116" s="44" t="n">
        <f aca="false">N(E116)-N(D116)</f>
        <v>221444</v>
      </c>
      <c r="G116" s="29" t="n">
        <f aca="false">Setup!$B$8+SUM($F$6:F116)</f>
        <v>2404959</v>
      </c>
      <c r="H116" s="45" t="s">
        <v>1273</v>
      </c>
      <c r="I116" s="27" t="str">
        <f aca="false">IF(COUNTIF(Cash_Book!$G$6:$G$304,C116)=0,"Not in books","In books")</f>
        <v>In books</v>
      </c>
    </row>
    <row r="117" customFormat="false" ht="15" hidden="false" customHeight="false" outlineLevel="0" collapsed="false">
      <c r="A117" s="41" t="n">
        <v>46189</v>
      </c>
      <c r="B117" s="45" t="s">
        <v>1384</v>
      </c>
      <c r="C117" s="5" t="s">
        <v>579</v>
      </c>
      <c r="D117" s="43"/>
      <c r="E117" s="43" t="n">
        <v>232164</v>
      </c>
      <c r="F117" s="44" t="n">
        <f aca="false">N(E117)-N(D117)</f>
        <v>232164</v>
      </c>
      <c r="G117" s="29" t="n">
        <f aca="false">Setup!$B$8+SUM($F$6:F117)</f>
        <v>2637123</v>
      </c>
      <c r="H117" s="45" t="s">
        <v>1273</v>
      </c>
      <c r="I117" s="27" t="str">
        <f aca="false">IF(COUNTIF(Cash_Book!$G$6:$G$304,C117)=0,"Not in books","In books")</f>
        <v>In books</v>
      </c>
    </row>
    <row r="118" customFormat="false" ht="15" hidden="false" customHeight="false" outlineLevel="0" collapsed="false">
      <c r="A118" s="41" t="n">
        <v>46192</v>
      </c>
      <c r="B118" s="45" t="s">
        <v>1385</v>
      </c>
      <c r="C118" s="5" t="s">
        <v>581</v>
      </c>
      <c r="D118" s="43"/>
      <c r="E118" s="43" t="n">
        <v>378487</v>
      </c>
      <c r="F118" s="44" t="n">
        <f aca="false">N(E118)-N(D118)</f>
        <v>378487</v>
      </c>
      <c r="G118" s="29" t="n">
        <f aca="false">Setup!$B$8+SUM($F$6:F118)</f>
        <v>3015610</v>
      </c>
      <c r="H118" s="45" t="s">
        <v>1273</v>
      </c>
      <c r="I118" s="27" t="str">
        <f aca="false">IF(COUNTIF(Cash_Book!$G$6:$G$304,C118)=0,"Not in books","In books")</f>
        <v>In books</v>
      </c>
    </row>
    <row r="119" customFormat="false" ht="15" hidden="false" customHeight="false" outlineLevel="0" collapsed="false">
      <c r="A119" s="41" t="n">
        <v>46192</v>
      </c>
      <c r="B119" s="45" t="s">
        <v>1386</v>
      </c>
      <c r="C119" s="5" t="s">
        <v>583</v>
      </c>
      <c r="D119" s="43"/>
      <c r="E119" s="43" t="n">
        <v>464274</v>
      </c>
      <c r="F119" s="44" t="n">
        <f aca="false">N(E119)-N(D119)</f>
        <v>464274</v>
      </c>
      <c r="G119" s="29" t="n">
        <f aca="false">Setup!$B$8+SUM($F$6:F119)</f>
        <v>3479884</v>
      </c>
      <c r="H119" s="45" t="s">
        <v>1273</v>
      </c>
      <c r="I119" s="27" t="str">
        <f aca="false">IF(COUNTIF(Cash_Book!$G$6:$G$304,C119)=0,"Not in books","In books")</f>
        <v>In books</v>
      </c>
    </row>
    <row r="120" customFormat="false" ht="15" hidden="false" customHeight="false" outlineLevel="0" collapsed="false">
      <c r="A120" s="41" t="n">
        <v>46193</v>
      </c>
      <c r="B120" s="45" t="s">
        <v>1387</v>
      </c>
      <c r="C120" s="5" t="s">
        <v>1049</v>
      </c>
      <c r="D120" s="43" t="n">
        <v>210000</v>
      </c>
      <c r="E120" s="43"/>
      <c r="F120" s="44" t="n">
        <f aca="false">N(E120)-N(D120)</f>
        <v>-210000</v>
      </c>
      <c r="G120" s="29" t="n">
        <f aca="false">Setup!$B$8+SUM($F$6:F120)</f>
        <v>3269884</v>
      </c>
      <c r="H120" s="45" t="s">
        <v>1287</v>
      </c>
      <c r="I120" s="27" t="str">
        <f aca="false">IF(COUNTIF(Cash_Book!$G$6:$G$304,C120)=0,"Not in books","In books")</f>
        <v>In books</v>
      </c>
    </row>
    <row r="121" customFormat="false" ht="15" hidden="false" customHeight="false" outlineLevel="0" collapsed="false">
      <c r="A121" s="41" t="n">
        <v>46194</v>
      </c>
      <c r="B121" s="45" t="s">
        <v>1388</v>
      </c>
      <c r="C121" s="5" t="s">
        <v>589</v>
      </c>
      <c r="D121" s="43"/>
      <c r="E121" s="43" t="n">
        <v>208335</v>
      </c>
      <c r="F121" s="44" t="n">
        <f aca="false">N(E121)-N(D121)</f>
        <v>208335</v>
      </c>
      <c r="G121" s="29" t="n">
        <f aca="false">Setup!$B$8+SUM($F$6:F121)</f>
        <v>3478219</v>
      </c>
      <c r="H121" s="45" t="s">
        <v>1273</v>
      </c>
      <c r="I121" s="27" t="str">
        <f aca="false">IF(COUNTIF(Cash_Book!$G$6:$G$304,C121)=0,"Not in books","In books")</f>
        <v>In books</v>
      </c>
    </row>
    <row r="122" customFormat="false" ht="15" hidden="false" customHeight="false" outlineLevel="0" collapsed="false">
      <c r="A122" s="41" t="n">
        <v>46195</v>
      </c>
      <c r="B122" s="45" t="s">
        <v>1389</v>
      </c>
      <c r="C122" s="5" t="s">
        <v>585</v>
      </c>
      <c r="D122" s="43"/>
      <c r="E122" s="43" t="n">
        <v>307613</v>
      </c>
      <c r="F122" s="44" t="n">
        <f aca="false">N(E122)-N(D122)</f>
        <v>307613</v>
      </c>
      <c r="G122" s="29" t="n">
        <f aca="false">Setup!$B$8+SUM($F$6:F122)</f>
        <v>3785832</v>
      </c>
      <c r="H122" s="45" t="s">
        <v>1273</v>
      </c>
      <c r="I122" s="27" t="str">
        <f aca="false">IF(COUNTIF(Cash_Book!$G$6:$G$304,C122)=0,"Not in books","In books")</f>
        <v>In books</v>
      </c>
    </row>
    <row r="123" customFormat="false" ht="15" hidden="false" customHeight="false" outlineLevel="0" collapsed="false">
      <c r="A123" s="41" t="n">
        <v>46195</v>
      </c>
      <c r="B123" s="45" t="s">
        <v>1390</v>
      </c>
      <c r="C123" s="5" t="s">
        <v>587</v>
      </c>
      <c r="D123" s="43"/>
      <c r="E123" s="43" t="n">
        <v>198801</v>
      </c>
      <c r="F123" s="44" t="n">
        <f aca="false">N(E123)-N(D123)</f>
        <v>198801</v>
      </c>
      <c r="G123" s="29" t="n">
        <f aca="false">Setup!$B$8+SUM($F$6:F123)</f>
        <v>3984633</v>
      </c>
      <c r="H123" s="45" t="s">
        <v>1273</v>
      </c>
      <c r="I123" s="27" t="str">
        <f aca="false">IF(COUNTIF(Cash_Book!$G$6:$G$304,C123)=0,"Not in books","In books")</f>
        <v>In books</v>
      </c>
    </row>
    <row r="124" customFormat="false" ht="15" hidden="false" customHeight="false" outlineLevel="0" collapsed="false">
      <c r="A124" s="41" t="n">
        <v>46195</v>
      </c>
      <c r="B124" s="45" t="s">
        <v>1391</v>
      </c>
      <c r="C124" s="5" t="s">
        <v>591</v>
      </c>
      <c r="D124" s="43"/>
      <c r="E124" s="43" t="n">
        <v>194806</v>
      </c>
      <c r="F124" s="44" t="n">
        <f aca="false">N(E124)-N(D124)</f>
        <v>194806</v>
      </c>
      <c r="G124" s="29" t="n">
        <f aca="false">Setup!$B$8+SUM($F$6:F124)</f>
        <v>4179439</v>
      </c>
      <c r="H124" s="45" t="s">
        <v>1273</v>
      </c>
      <c r="I124" s="27" t="str">
        <f aca="false">IF(COUNTIF(Cash_Book!$G$6:$G$304,C124)=0,"Not in books","In books")</f>
        <v>In books</v>
      </c>
    </row>
    <row r="125" customFormat="false" ht="15" hidden="false" customHeight="false" outlineLevel="0" collapsed="false">
      <c r="A125" s="41" t="n">
        <v>46195</v>
      </c>
      <c r="B125" s="45" t="s">
        <v>1392</v>
      </c>
      <c r="C125" s="5" t="s">
        <v>593</v>
      </c>
      <c r="D125" s="43"/>
      <c r="E125" s="43" t="n">
        <v>287692</v>
      </c>
      <c r="F125" s="44" t="n">
        <f aca="false">N(E125)-N(D125)</f>
        <v>287692</v>
      </c>
      <c r="G125" s="29" t="n">
        <f aca="false">Setup!$B$8+SUM($F$6:F125)</f>
        <v>4467131</v>
      </c>
      <c r="H125" s="45" t="s">
        <v>1273</v>
      </c>
      <c r="I125" s="27" t="str">
        <f aca="false">IF(COUNTIF(Cash_Book!$G$6:$G$304,C125)=0,"Not in books","In books")</f>
        <v>In books</v>
      </c>
    </row>
    <row r="126" customFormat="false" ht="15" hidden="false" customHeight="false" outlineLevel="0" collapsed="false">
      <c r="A126" s="41" t="n">
        <v>46196</v>
      </c>
      <c r="B126" s="45" t="s">
        <v>1393</v>
      </c>
      <c r="C126" s="5" t="s">
        <v>595</v>
      </c>
      <c r="D126" s="43"/>
      <c r="E126" s="43" t="n">
        <v>135859</v>
      </c>
      <c r="F126" s="44" t="n">
        <f aca="false">N(E126)-N(D126)</f>
        <v>135859</v>
      </c>
      <c r="G126" s="29" t="n">
        <f aca="false">Setup!$B$8+SUM($F$6:F126)</f>
        <v>4602990</v>
      </c>
      <c r="H126" s="45" t="s">
        <v>1273</v>
      </c>
      <c r="I126" s="27" t="str">
        <f aca="false">IF(COUNTIF(Cash_Book!$G$6:$G$304,C126)=0,"Not in books","In books")</f>
        <v>In books</v>
      </c>
    </row>
    <row r="127" customFormat="false" ht="15" hidden="false" customHeight="false" outlineLevel="0" collapsed="false">
      <c r="A127" s="41" t="n">
        <v>46197</v>
      </c>
      <c r="B127" s="45" t="s">
        <v>1394</v>
      </c>
      <c r="C127" s="5" t="s">
        <v>1046</v>
      </c>
      <c r="D127" s="43" t="n">
        <v>171005</v>
      </c>
      <c r="E127" s="43"/>
      <c r="F127" s="44" t="n">
        <f aca="false">N(E127)-N(D127)</f>
        <v>-171005</v>
      </c>
      <c r="G127" s="29" t="n">
        <f aca="false">Setup!$B$8+SUM($F$6:F127)</f>
        <v>4431985</v>
      </c>
      <c r="H127" s="45" t="s">
        <v>1269</v>
      </c>
      <c r="I127" s="27" t="str">
        <f aca="false">IF(COUNTIF(Cash_Book!$G$6:$G$304,C127)=0,"Not in books","In books")</f>
        <v>In books</v>
      </c>
    </row>
    <row r="128" customFormat="false" ht="15" hidden="false" customHeight="false" outlineLevel="0" collapsed="false">
      <c r="A128" s="41" t="n">
        <v>46197</v>
      </c>
      <c r="B128" s="45" t="s">
        <v>1395</v>
      </c>
      <c r="C128" s="5" t="s">
        <v>597</v>
      </c>
      <c r="D128" s="43"/>
      <c r="E128" s="43" t="n">
        <v>204871</v>
      </c>
      <c r="F128" s="44" t="n">
        <f aca="false">N(E128)-N(D128)</f>
        <v>204871</v>
      </c>
      <c r="G128" s="29" t="n">
        <f aca="false">Setup!$B$8+SUM($F$6:F128)</f>
        <v>4636856</v>
      </c>
      <c r="H128" s="45" t="s">
        <v>1273</v>
      </c>
      <c r="I128" s="27" t="str">
        <f aca="false">IF(COUNTIF(Cash_Book!$G$6:$G$304,C128)=0,"Not in books","In books")</f>
        <v>In books</v>
      </c>
    </row>
    <row r="129" customFormat="false" ht="15" hidden="false" customHeight="false" outlineLevel="0" collapsed="false">
      <c r="A129" s="41" t="n">
        <v>46197</v>
      </c>
      <c r="B129" s="45" t="s">
        <v>1396</v>
      </c>
      <c r="C129" s="5" t="s">
        <v>603</v>
      </c>
      <c r="D129" s="43"/>
      <c r="E129" s="43" t="n">
        <v>301053</v>
      </c>
      <c r="F129" s="44" t="n">
        <f aca="false">N(E129)-N(D129)</f>
        <v>301053</v>
      </c>
      <c r="G129" s="29" t="n">
        <f aca="false">Setup!$B$8+SUM($F$6:F129)</f>
        <v>4937909</v>
      </c>
      <c r="H129" s="45" t="s">
        <v>1273</v>
      </c>
      <c r="I129" s="27" t="str">
        <f aca="false">IF(COUNTIF(Cash_Book!$G$6:$G$304,C129)=0,"Not in books","In books")</f>
        <v>In books</v>
      </c>
    </row>
    <row r="130" customFormat="false" ht="15" hidden="false" customHeight="false" outlineLevel="0" collapsed="false">
      <c r="A130" s="41" t="n">
        <v>46197</v>
      </c>
      <c r="B130" s="45" t="s">
        <v>1397</v>
      </c>
      <c r="C130" s="5" t="s">
        <v>1059</v>
      </c>
      <c r="D130" s="43" t="n">
        <v>4391000</v>
      </c>
      <c r="E130" s="43"/>
      <c r="F130" s="44" t="n">
        <f aca="false">N(E130)-N(D130)</f>
        <v>-4391000</v>
      </c>
      <c r="G130" s="29" t="n">
        <f aca="false">Setup!$B$8+SUM($F$6:F130)</f>
        <v>546909</v>
      </c>
      <c r="H130" s="45" t="s">
        <v>1275</v>
      </c>
      <c r="I130" s="27" t="str">
        <f aca="false">IF(COUNTIF(Cash_Book!$G$6:$G$304,C130)=0,"Not in books","In books")</f>
        <v>In books</v>
      </c>
    </row>
    <row r="131" customFormat="false" ht="15" hidden="false" customHeight="false" outlineLevel="0" collapsed="false">
      <c r="A131" s="41" t="n">
        <v>46198</v>
      </c>
      <c r="B131" s="45" t="s">
        <v>1398</v>
      </c>
      <c r="C131" s="5" t="s">
        <v>599</v>
      </c>
      <c r="D131" s="43"/>
      <c r="E131" s="43" t="n">
        <v>267497</v>
      </c>
      <c r="F131" s="44" t="n">
        <f aca="false">N(E131)-N(D131)</f>
        <v>267497</v>
      </c>
      <c r="G131" s="29" t="n">
        <f aca="false">Setup!$B$8+SUM($F$6:F131)</f>
        <v>814406</v>
      </c>
      <c r="H131" s="45" t="s">
        <v>1273</v>
      </c>
      <c r="I131" s="27" t="str">
        <f aca="false">IF(COUNTIF(Cash_Book!$G$6:$G$304,C131)=0,"Not in books","In books")</f>
        <v>In books</v>
      </c>
    </row>
    <row r="132" customFormat="false" ht="15" hidden="false" customHeight="false" outlineLevel="0" collapsed="false">
      <c r="A132" s="41" t="n">
        <v>46198</v>
      </c>
      <c r="B132" s="45" t="s">
        <v>1399</v>
      </c>
      <c r="C132" s="5" t="s">
        <v>601</v>
      </c>
      <c r="D132" s="43"/>
      <c r="E132" s="43" t="n">
        <v>98579</v>
      </c>
      <c r="F132" s="44" t="n">
        <f aca="false">N(E132)-N(D132)</f>
        <v>98579</v>
      </c>
      <c r="G132" s="29" t="n">
        <f aca="false">Setup!$B$8+SUM($F$6:F132)</f>
        <v>912985</v>
      </c>
      <c r="H132" s="45" t="s">
        <v>1273</v>
      </c>
      <c r="I132" s="27" t="str">
        <f aca="false">IF(COUNTIF(Cash_Book!$G$6:$G$304,C132)=0,"Not in books","In books")</f>
        <v>In books</v>
      </c>
    </row>
    <row r="133" customFormat="false" ht="15" hidden="false" customHeight="false" outlineLevel="0" collapsed="false">
      <c r="A133" s="41" t="n">
        <v>46199</v>
      </c>
      <c r="B133" s="45" t="s">
        <v>1400</v>
      </c>
      <c r="C133" s="5" t="s">
        <v>605</v>
      </c>
      <c r="D133" s="43"/>
      <c r="E133" s="43" t="n">
        <v>355158</v>
      </c>
      <c r="F133" s="44" t="n">
        <f aca="false">N(E133)-N(D133)</f>
        <v>355158</v>
      </c>
      <c r="G133" s="29" t="n">
        <f aca="false">Setup!$B$8+SUM($F$6:F133)</f>
        <v>1268143</v>
      </c>
      <c r="H133" s="45" t="s">
        <v>1273</v>
      </c>
      <c r="I133" s="27" t="str">
        <f aca="false">IF(COUNTIF(Cash_Book!$G$6:$G$304,C133)=0,"Not in books","In books")</f>
        <v>In books</v>
      </c>
    </row>
    <row r="134" customFormat="false" ht="15" hidden="false" customHeight="false" outlineLevel="0" collapsed="false">
      <c r="A134" s="41" t="n">
        <v>46199</v>
      </c>
      <c r="B134" s="45" t="s">
        <v>1401</v>
      </c>
      <c r="C134" s="5" t="s">
        <v>607</v>
      </c>
      <c r="D134" s="43"/>
      <c r="E134" s="43" t="n">
        <v>267766</v>
      </c>
      <c r="F134" s="44" t="n">
        <f aca="false">N(E134)-N(D134)</f>
        <v>267766</v>
      </c>
      <c r="G134" s="29" t="n">
        <f aca="false">Setup!$B$8+SUM($F$6:F134)</f>
        <v>1535909</v>
      </c>
      <c r="H134" s="45" t="s">
        <v>1273</v>
      </c>
      <c r="I134" s="27" t="str">
        <f aca="false">IF(COUNTIF(Cash_Book!$G$6:$G$304,C134)=0,"Not in books","In books")</f>
        <v>In books</v>
      </c>
    </row>
    <row r="135" customFormat="false" ht="15" hidden="false" customHeight="false" outlineLevel="0" collapsed="false">
      <c r="A135" s="41" t="n">
        <v>46199</v>
      </c>
      <c r="B135" s="45" t="s">
        <v>1402</v>
      </c>
      <c r="C135" s="5" t="s">
        <v>609</v>
      </c>
      <c r="D135" s="43"/>
      <c r="E135" s="43" t="n">
        <v>298867</v>
      </c>
      <c r="F135" s="44" t="n">
        <f aca="false">N(E135)-N(D135)</f>
        <v>298867</v>
      </c>
      <c r="G135" s="29" t="n">
        <f aca="false">Setup!$B$8+SUM($F$6:F135)</f>
        <v>1834776</v>
      </c>
      <c r="H135" s="45" t="s">
        <v>1273</v>
      </c>
      <c r="I135" s="27" t="str">
        <f aca="false">IF(COUNTIF(Cash_Book!$G$6:$G$304,C135)=0,"Not in books","In books")</f>
        <v>In books</v>
      </c>
    </row>
    <row r="136" customFormat="false" ht="15" hidden="false" customHeight="false" outlineLevel="0" collapsed="false">
      <c r="A136" s="41" t="n">
        <v>46200</v>
      </c>
      <c r="B136" s="45" t="s">
        <v>1403</v>
      </c>
      <c r="C136" s="5" t="s">
        <v>1043</v>
      </c>
      <c r="D136" s="43" t="n">
        <v>83409</v>
      </c>
      <c r="E136" s="43"/>
      <c r="F136" s="44" t="n">
        <f aca="false">N(E136)-N(D136)</f>
        <v>-83409</v>
      </c>
      <c r="G136" s="29" t="n">
        <f aca="false">Setup!$B$8+SUM($F$6:F136)</f>
        <v>1751367</v>
      </c>
      <c r="H136" s="45" t="s">
        <v>1269</v>
      </c>
      <c r="I136" s="27" t="str">
        <f aca="false">IF(COUNTIF(Cash_Book!$G$6:$G$304,C136)=0,"Not in books","In books")</f>
        <v>In books</v>
      </c>
    </row>
    <row r="137" customFormat="false" ht="15" hidden="false" customHeight="false" outlineLevel="0" collapsed="false">
      <c r="A137" s="41" t="n">
        <v>46200</v>
      </c>
      <c r="B137" s="45" t="s">
        <v>1404</v>
      </c>
      <c r="C137" s="5" t="s">
        <v>1064</v>
      </c>
      <c r="D137" s="43" t="n">
        <v>123936</v>
      </c>
      <c r="E137" s="43"/>
      <c r="F137" s="44" t="n">
        <f aca="false">N(E137)-N(D137)</f>
        <v>-123936</v>
      </c>
      <c r="G137" s="29" t="n">
        <f aca="false">Setup!$B$8+SUM($F$6:F137)</f>
        <v>1627431</v>
      </c>
      <c r="H137" s="45" t="s">
        <v>1269</v>
      </c>
      <c r="I137" s="27" t="str">
        <f aca="false">IF(COUNTIF(Cash_Book!$G$6:$G$304,C137)=0,"Not in books","In books")</f>
        <v>In books</v>
      </c>
    </row>
    <row r="138" customFormat="false" ht="15" hidden="false" customHeight="false" outlineLevel="0" collapsed="false">
      <c r="A138" s="41" t="n">
        <v>46201</v>
      </c>
      <c r="B138" s="45" t="s">
        <v>1405</v>
      </c>
      <c r="C138" s="5" t="s">
        <v>611</v>
      </c>
      <c r="D138" s="43"/>
      <c r="E138" s="43" t="n">
        <v>169429</v>
      </c>
      <c r="F138" s="44" t="n">
        <f aca="false">N(E138)-N(D138)</f>
        <v>169429</v>
      </c>
      <c r="G138" s="29" t="n">
        <f aca="false">Setup!$B$8+SUM($F$6:F138)</f>
        <v>1796860</v>
      </c>
      <c r="H138" s="45" t="s">
        <v>1273</v>
      </c>
      <c r="I138" s="27" t="str">
        <f aca="false">IF(COUNTIF(Cash_Book!$G$6:$G$304,C138)=0,"Not in books","In books")</f>
        <v>In books</v>
      </c>
    </row>
    <row r="139" customFormat="false" ht="15" hidden="false" customHeight="false" outlineLevel="0" collapsed="false">
      <c r="A139" s="41" t="n">
        <v>46202</v>
      </c>
      <c r="B139" s="45" t="s">
        <v>1406</v>
      </c>
      <c r="C139" s="5" t="s">
        <v>613</v>
      </c>
      <c r="D139" s="43"/>
      <c r="E139" s="43" t="n">
        <v>282617</v>
      </c>
      <c r="F139" s="44" t="n">
        <f aca="false">N(E139)-N(D139)</f>
        <v>282617</v>
      </c>
      <c r="G139" s="29" t="n">
        <f aca="false">Setup!$B$8+SUM($F$6:F139)</f>
        <v>2079477</v>
      </c>
      <c r="H139" s="45" t="s">
        <v>1273</v>
      </c>
      <c r="I139" s="27" t="str">
        <f aca="false">IF(COUNTIF(Cash_Book!$G$6:$G$304,C139)=0,"Not in books","In books")</f>
        <v>In books</v>
      </c>
    </row>
    <row r="140" customFormat="false" ht="15" hidden="false" customHeight="false" outlineLevel="0" collapsed="false">
      <c r="A140" s="41" t="n">
        <v>46202</v>
      </c>
      <c r="B140" s="45" t="s">
        <v>1407</v>
      </c>
      <c r="C140" s="5" t="s">
        <v>615</v>
      </c>
      <c r="D140" s="43"/>
      <c r="E140" s="43" t="n">
        <v>56647</v>
      </c>
      <c r="F140" s="44" t="n">
        <f aca="false">N(E140)-N(D140)</f>
        <v>56647</v>
      </c>
      <c r="G140" s="29" t="n">
        <f aca="false">Setup!$B$8+SUM($F$6:F140)</f>
        <v>2136124</v>
      </c>
      <c r="H140" s="45" t="s">
        <v>1273</v>
      </c>
      <c r="I140" s="27" t="str">
        <f aca="false">IF(COUNTIF(Cash_Book!$G$6:$G$304,C140)=0,"Not in books","In books")</f>
        <v>In books</v>
      </c>
    </row>
    <row r="141" customFormat="false" ht="15" hidden="false" customHeight="false" outlineLevel="0" collapsed="false">
      <c r="A141" s="41" t="n">
        <v>46202</v>
      </c>
      <c r="B141" s="45" t="s">
        <v>1408</v>
      </c>
      <c r="C141" s="5" t="s">
        <v>617</v>
      </c>
      <c r="D141" s="43"/>
      <c r="E141" s="43" t="n">
        <v>278385</v>
      </c>
      <c r="F141" s="44" t="n">
        <f aca="false">N(E141)-N(D141)</f>
        <v>278385</v>
      </c>
      <c r="G141" s="29" t="n">
        <f aca="false">Setup!$B$8+SUM($F$6:F141)</f>
        <v>2414509</v>
      </c>
      <c r="H141" s="45" t="s">
        <v>1273</v>
      </c>
      <c r="I141" s="27" t="str">
        <f aca="false">IF(COUNTIF(Cash_Book!$G$6:$G$304,C141)=0,"Not in books","In books")</f>
        <v>In books</v>
      </c>
    </row>
    <row r="142" customFormat="false" ht="15" hidden="false" customHeight="false" outlineLevel="0" collapsed="false">
      <c r="A142" s="41" t="n">
        <v>46203</v>
      </c>
      <c r="B142" s="45" t="s">
        <v>1409</v>
      </c>
      <c r="C142" s="5" t="s">
        <v>1072</v>
      </c>
      <c r="D142" s="43"/>
      <c r="E142" s="43" t="n">
        <v>3420</v>
      </c>
      <c r="F142" s="44" t="n">
        <f aca="false">N(E142)-N(D142)</f>
        <v>3420</v>
      </c>
      <c r="G142" s="29" t="n">
        <f aca="false">Setup!$B$8+SUM($F$6:F142)</f>
        <v>2417929</v>
      </c>
      <c r="H142" s="45" t="s">
        <v>1410</v>
      </c>
      <c r="I142" s="27" t="str">
        <f aca="false">IF(COUNTIF(Cash_Book!$G$6:$G$304,C142)=0,"Not in books","In books")</f>
        <v>In books</v>
      </c>
    </row>
    <row r="143" customFormat="false" ht="15" hidden="false" customHeight="false" outlineLevel="0" collapsed="false">
      <c r="A143" s="41" t="n">
        <v>46203</v>
      </c>
      <c r="B143" s="45" t="s">
        <v>1411</v>
      </c>
      <c r="C143" s="5" t="s">
        <v>1074</v>
      </c>
      <c r="D143" s="43" t="n">
        <v>48324</v>
      </c>
      <c r="E143" s="43"/>
      <c r="F143" s="44" t="n">
        <f aca="false">N(E143)-N(D143)</f>
        <v>-48324</v>
      </c>
      <c r="G143" s="29" t="n">
        <f aca="false">Setup!$B$8+SUM($F$6:F143)</f>
        <v>2369605</v>
      </c>
      <c r="H143" s="45" t="s">
        <v>1269</v>
      </c>
      <c r="I143" s="27" t="str">
        <f aca="false">IF(COUNTIF(Cash_Book!$G$6:$G$304,C143)=0,"Not in books","In books")</f>
        <v>In books</v>
      </c>
    </row>
    <row r="144" customFormat="false" ht="15" hidden="false" customHeight="false" outlineLevel="0" collapsed="false">
      <c r="A144" s="41" t="n">
        <v>46203</v>
      </c>
      <c r="B144" s="45" t="s">
        <v>1412</v>
      </c>
      <c r="C144" s="5" t="s">
        <v>1077</v>
      </c>
      <c r="D144" s="43" t="n">
        <v>590</v>
      </c>
      <c r="E144" s="43"/>
      <c r="F144" s="44" t="n">
        <f aca="false">N(E144)-N(D144)</f>
        <v>-590</v>
      </c>
      <c r="G144" s="29" t="n">
        <f aca="false">Setup!$B$8+SUM($F$6:F144)</f>
        <v>2369015</v>
      </c>
      <c r="H144" s="45" t="s">
        <v>1308</v>
      </c>
      <c r="I144" s="27" t="str">
        <f aca="false">IF(COUNTIF(Cash_Book!$G$6:$G$304,C144)=0,"Not in books","In books")</f>
        <v>In books</v>
      </c>
    </row>
    <row r="145" customFormat="false" ht="15" hidden="false" customHeight="false" outlineLevel="0" collapsed="false">
      <c r="A145" s="41" t="n">
        <v>46205</v>
      </c>
      <c r="B145" s="45" t="s">
        <v>1413</v>
      </c>
      <c r="C145" s="5" t="s">
        <v>619</v>
      </c>
      <c r="D145" s="43"/>
      <c r="E145" s="43" t="n">
        <v>223807</v>
      </c>
      <c r="F145" s="44" t="n">
        <f aca="false">N(E145)-N(D145)</f>
        <v>223807</v>
      </c>
      <c r="G145" s="29" t="n">
        <f aca="false">Setup!$B$8+SUM($F$6:F145)</f>
        <v>2592822</v>
      </c>
      <c r="H145" s="45" t="s">
        <v>1273</v>
      </c>
      <c r="I145" s="27" t="str">
        <f aca="false">IF(COUNTIF(Cash_Book!$G$6:$G$304,C145)=0,"Not in books","In books")</f>
        <v>In books</v>
      </c>
    </row>
    <row r="146" customFormat="false" ht="15" hidden="false" customHeight="false" outlineLevel="0" collapsed="false">
      <c r="A146" s="41" t="n">
        <v>46205</v>
      </c>
      <c r="B146" s="45" t="s">
        <v>1414</v>
      </c>
      <c r="C146" s="5" t="s">
        <v>1081</v>
      </c>
      <c r="D146" s="43" t="n">
        <v>370000</v>
      </c>
      <c r="E146" s="43"/>
      <c r="F146" s="44" t="n">
        <f aca="false">N(E146)-N(D146)</f>
        <v>-370000</v>
      </c>
      <c r="G146" s="29" t="n">
        <f aca="false">Setup!$B$8+SUM($F$6:F146)</f>
        <v>2222822</v>
      </c>
      <c r="H146" s="45" t="s">
        <v>1267</v>
      </c>
      <c r="I146" s="27" t="str">
        <f aca="false">IF(COUNTIF(Cash_Book!$G$6:$G$304,C146)=0,"Not in books","In books")</f>
        <v>In books</v>
      </c>
    </row>
    <row r="147" customFormat="false" ht="15" hidden="false" customHeight="false" outlineLevel="0" collapsed="false">
      <c r="A147" s="41" t="n">
        <v>46206</v>
      </c>
      <c r="B147" s="45" t="s">
        <v>1415</v>
      </c>
      <c r="C147" s="5" t="s">
        <v>621</v>
      </c>
      <c r="D147" s="43"/>
      <c r="E147" s="43" t="n">
        <v>478648</v>
      </c>
      <c r="F147" s="44" t="n">
        <f aca="false">N(E147)-N(D147)</f>
        <v>478648</v>
      </c>
      <c r="G147" s="29" t="n">
        <f aca="false">Setup!$B$8+SUM($F$6:F147)</f>
        <v>2701470</v>
      </c>
      <c r="H147" s="45" t="s">
        <v>1273</v>
      </c>
      <c r="I147" s="27" t="str">
        <f aca="false">IF(COUNTIF(Cash_Book!$G$6:$G$304,C147)=0,"Not in books","In books")</f>
        <v>In books</v>
      </c>
    </row>
    <row r="148" customFormat="false" ht="15" hidden="false" customHeight="false" outlineLevel="0" collapsed="false">
      <c r="A148" s="41" t="n">
        <v>46207</v>
      </c>
      <c r="B148" s="45" t="s">
        <v>1416</v>
      </c>
      <c r="C148" s="5" t="s">
        <v>623</v>
      </c>
      <c r="D148" s="43"/>
      <c r="E148" s="43" t="n">
        <v>388417</v>
      </c>
      <c r="F148" s="44" t="n">
        <f aca="false">N(E148)-N(D148)</f>
        <v>388417</v>
      </c>
      <c r="G148" s="29" t="n">
        <f aca="false">Setup!$B$8+SUM($F$6:F148)</f>
        <v>3089887</v>
      </c>
      <c r="H148" s="45" t="s">
        <v>1273</v>
      </c>
      <c r="I148" s="27" t="str">
        <f aca="false">IF(COUNTIF(Cash_Book!$G$6:$G$304,C148)=0,"Not in books","In books")</f>
        <v>In books</v>
      </c>
    </row>
    <row r="149" customFormat="false" ht="15" hidden="false" customHeight="false" outlineLevel="0" collapsed="false">
      <c r="A149" s="41" t="n">
        <v>46208</v>
      </c>
      <c r="B149" s="45" t="s">
        <v>1417</v>
      </c>
      <c r="C149" s="5" t="s">
        <v>625</v>
      </c>
      <c r="D149" s="43"/>
      <c r="E149" s="43" t="n">
        <v>108223</v>
      </c>
      <c r="F149" s="44" t="n">
        <f aca="false">N(E149)-N(D149)</f>
        <v>108223</v>
      </c>
      <c r="G149" s="29" t="n">
        <f aca="false">Setup!$B$8+SUM($F$6:F149)</f>
        <v>3198110</v>
      </c>
      <c r="H149" s="45" t="s">
        <v>1273</v>
      </c>
      <c r="I149" s="27" t="str">
        <f aca="false">IF(COUNTIF(Cash_Book!$G$6:$G$304,C149)=0,"Not in books","In books")</f>
        <v>In books</v>
      </c>
    </row>
    <row r="150" customFormat="false" ht="15" hidden="false" customHeight="false" outlineLevel="0" collapsed="false">
      <c r="A150" s="41" t="n">
        <v>46209</v>
      </c>
      <c r="B150" s="45" t="s">
        <v>1418</v>
      </c>
      <c r="C150" s="5" t="s">
        <v>1084</v>
      </c>
      <c r="D150" s="43" t="n">
        <v>95000</v>
      </c>
      <c r="E150" s="43"/>
      <c r="F150" s="44" t="n">
        <f aca="false">N(E150)-N(D150)</f>
        <v>-95000</v>
      </c>
      <c r="G150" s="29" t="n">
        <f aca="false">Setup!$B$8+SUM($F$6:F150)</f>
        <v>3103110</v>
      </c>
      <c r="H150" s="45" t="s">
        <v>1271</v>
      </c>
      <c r="I150" s="27" t="str">
        <f aca="false">IF(COUNTIF(Cash_Book!$G$6:$G$304,C150)=0,"Not in books","In books")</f>
        <v>In books</v>
      </c>
    </row>
    <row r="151" customFormat="false" ht="15" hidden="false" customHeight="false" outlineLevel="0" collapsed="false">
      <c r="A151" s="41" t="n">
        <v>46211</v>
      </c>
      <c r="B151" s="45" t="s">
        <v>1419</v>
      </c>
      <c r="C151" s="5" t="s">
        <v>627</v>
      </c>
      <c r="D151" s="43"/>
      <c r="E151" s="43" t="n">
        <v>256184</v>
      </c>
      <c r="F151" s="44" t="n">
        <f aca="false">N(E151)-N(D151)</f>
        <v>256184</v>
      </c>
      <c r="G151" s="29" t="n">
        <f aca="false">Setup!$B$8+SUM($F$6:F151)</f>
        <v>3359294</v>
      </c>
      <c r="H151" s="45" t="s">
        <v>1273</v>
      </c>
      <c r="I151" s="27" t="str">
        <f aca="false">IF(COUNTIF(Cash_Book!$G$6:$G$304,C151)=0,"Not in books","In books")</f>
        <v>In books</v>
      </c>
    </row>
    <row r="152" customFormat="false" ht="15" hidden="false" customHeight="false" outlineLevel="0" collapsed="false">
      <c r="A152" s="41" t="n">
        <v>46212</v>
      </c>
      <c r="B152" s="45" t="s">
        <v>1420</v>
      </c>
      <c r="C152" s="5" t="s">
        <v>629</v>
      </c>
      <c r="D152" s="43"/>
      <c r="E152" s="43" t="n">
        <v>380009</v>
      </c>
      <c r="F152" s="44" t="n">
        <f aca="false">N(E152)-N(D152)</f>
        <v>380009</v>
      </c>
      <c r="G152" s="29" t="n">
        <f aca="false">Setup!$B$8+SUM($F$6:F152)</f>
        <v>3739303</v>
      </c>
      <c r="H152" s="45" t="s">
        <v>1273</v>
      </c>
      <c r="I152" s="27" t="str">
        <f aca="false">IF(COUNTIF(Cash_Book!$G$6:$G$304,C152)=0,"Not in books","In books")</f>
        <v>In books</v>
      </c>
    </row>
    <row r="153" customFormat="false" ht="15" hidden="false" customHeight="false" outlineLevel="0" collapsed="false">
      <c r="A153" s="41" t="n">
        <v>46213</v>
      </c>
      <c r="B153" s="45" t="s">
        <v>1421</v>
      </c>
      <c r="C153" s="5" t="s">
        <v>1089</v>
      </c>
      <c r="D153" s="43" t="n">
        <v>3246000</v>
      </c>
      <c r="E153" s="43"/>
      <c r="F153" s="44" t="n">
        <f aca="false">N(E153)-N(D153)</f>
        <v>-3246000</v>
      </c>
      <c r="G153" s="29" t="n">
        <f aca="false">Setup!$B$8+SUM($F$6:F153)</f>
        <v>493303</v>
      </c>
      <c r="H153" s="45" t="s">
        <v>1275</v>
      </c>
      <c r="I153" s="27" t="str">
        <f aca="false">IF(COUNTIF(Cash_Book!$G$6:$G$304,C153)=0,"Not in books","In books")</f>
        <v>In books</v>
      </c>
    </row>
    <row r="154" customFormat="false" ht="15" hidden="false" customHeight="false" outlineLevel="0" collapsed="false">
      <c r="A154" s="41" t="n">
        <v>46214</v>
      </c>
      <c r="B154" s="45" t="s">
        <v>1422</v>
      </c>
      <c r="C154" s="5" t="s">
        <v>631</v>
      </c>
      <c r="D154" s="43"/>
      <c r="E154" s="43" t="n">
        <v>227276</v>
      </c>
      <c r="F154" s="44" t="n">
        <f aca="false">N(E154)-N(D154)</f>
        <v>227276</v>
      </c>
      <c r="G154" s="29" t="n">
        <f aca="false">Setup!$B$8+SUM($F$6:F154)</f>
        <v>720579</v>
      </c>
      <c r="H154" s="45" t="s">
        <v>1273</v>
      </c>
      <c r="I154" s="27" t="str">
        <f aca="false">IF(COUNTIF(Cash_Book!$G$6:$G$304,C154)=0,"Not in books","In books")</f>
        <v>In books</v>
      </c>
    </row>
    <row r="155" customFormat="false" ht="15" hidden="false" customHeight="false" outlineLevel="0" collapsed="false">
      <c r="A155" s="41" t="n">
        <v>46214</v>
      </c>
      <c r="B155" s="45" t="s">
        <v>1423</v>
      </c>
      <c r="C155" s="5" t="s">
        <v>633</v>
      </c>
      <c r="D155" s="43"/>
      <c r="E155" s="43" t="n">
        <v>403840</v>
      </c>
      <c r="F155" s="44" t="n">
        <f aca="false">N(E155)-N(D155)</f>
        <v>403840</v>
      </c>
      <c r="G155" s="29" t="n">
        <f aca="false">Setup!$B$8+SUM($F$6:F155)</f>
        <v>1124419</v>
      </c>
      <c r="H155" s="45" t="s">
        <v>1273</v>
      </c>
      <c r="I155" s="27" t="str">
        <f aca="false">IF(COUNTIF(Cash_Book!$G$6:$G$304,C155)=0,"Not in books","In books")</f>
        <v>In books</v>
      </c>
    </row>
    <row r="156" customFormat="false" ht="15" hidden="false" customHeight="false" outlineLevel="0" collapsed="false">
      <c r="A156" s="41" t="n">
        <v>46215</v>
      </c>
      <c r="B156" s="45" t="s">
        <v>1424</v>
      </c>
      <c r="C156" s="5" t="s">
        <v>635</v>
      </c>
      <c r="D156" s="43"/>
      <c r="E156" s="43" t="n">
        <v>134313</v>
      </c>
      <c r="F156" s="44" t="n">
        <f aca="false">N(E156)-N(D156)</f>
        <v>134313</v>
      </c>
      <c r="G156" s="29" t="n">
        <f aca="false">Setup!$B$8+SUM($F$6:F156)</f>
        <v>1258732</v>
      </c>
      <c r="H156" s="45" t="s">
        <v>1273</v>
      </c>
      <c r="I156" s="27" t="str">
        <f aca="false">IF(COUNTIF(Cash_Book!$G$6:$G$304,C156)=0,"Not in books","In books")</f>
        <v>In books</v>
      </c>
    </row>
    <row r="157" customFormat="false" ht="15" hidden="false" customHeight="false" outlineLevel="0" collapsed="false">
      <c r="A157" s="41" t="n">
        <v>46215</v>
      </c>
      <c r="B157" s="45" t="s">
        <v>1425</v>
      </c>
      <c r="C157" s="5" t="s">
        <v>637</v>
      </c>
      <c r="D157" s="43"/>
      <c r="E157" s="43" t="n">
        <v>160464</v>
      </c>
      <c r="F157" s="44" t="n">
        <f aca="false">N(E157)-N(D157)</f>
        <v>160464</v>
      </c>
      <c r="G157" s="29" t="n">
        <f aca="false">Setup!$B$8+SUM($F$6:F157)</f>
        <v>1419196</v>
      </c>
      <c r="H157" s="45" t="s">
        <v>1273</v>
      </c>
      <c r="I157" s="27" t="str">
        <f aca="false">IF(COUNTIF(Cash_Book!$G$6:$G$304,C157)=0,"Not in books","In books")</f>
        <v>In books</v>
      </c>
    </row>
    <row r="158" customFormat="false" ht="15" hidden="false" customHeight="false" outlineLevel="0" collapsed="false">
      <c r="A158" s="41" t="n">
        <v>46215</v>
      </c>
      <c r="B158" s="45" t="s">
        <v>1426</v>
      </c>
      <c r="C158" s="5" t="s">
        <v>639</v>
      </c>
      <c r="D158" s="43"/>
      <c r="E158" s="43" t="n">
        <v>165693</v>
      </c>
      <c r="F158" s="44" t="n">
        <f aca="false">N(E158)-N(D158)</f>
        <v>165693</v>
      </c>
      <c r="G158" s="29" t="n">
        <f aca="false">Setup!$B$8+SUM($F$6:F158)</f>
        <v>1584889</v>
      </c>
      <c r="H158" s="45" t="s">
        <v>1273</v>
      </c>
      <c r="I158" s="27" t="str">
        <f aca="false">IF(COUNTIF(Cash_Book!$G$6:$G$304,C158)=0,"Not in books","In books")</f>
        <v>In books</v>
      </c>
    </row>
    <row r="159" customFormat="false" ht="15" hidden="false" customHeight="false" outlineLevel="0" collapsed="false">
      <c r="A159" s="41" t="n">
        <v>46215</v>
      </c>
      <c r="B159" s="45" t="s">
        <v>1427</v>
      </c>
      <c r="C159" s="5" t="s">
        <v>643</v>
      </c>
      <c r="D159" s="43"/>
      <c r="E159" s="43" t="n">
        <v>101009</v>
      </c>
      <c r="F159" s="44" t="n">
        <f aca="false">N(E159)-N(D159)</f>
        <v>101009</v>
      </c>
      <c r="G159" s="29" t="n">
        <f aca="false">Setup!$B$8+SUM($F$6:F159)</f>
        <v>1685898</v>
      </c>
      <c r="H159" s="45" t="s">
        <v>1273</v>
      </c>
      <c r="I159" s="27" t="str">
        <f aca="false">IF(COUNTIF(Cash_Book!$G$6:$G$304,C159)=0,"Not in books","In books")</f>
        <v>In books</v>
      </c>
    </row>
    <row r="160" customFormat="false" ht="15" hidden="false" customHeight="false" outlineLevel="0" collapsed="false">
      <c r="A160" s="41" t="n">
        <v>46216</v>
      </c>
      <c r="B160" s="45" t="s">
        <v>1428</v>
      </c>
      <c r="C160" s="5" t="s">
        <v>641</v>
      </c>
      <c r="D160" s="43"/>
      <c r="E160" s="43" t="n">
        <v>302246</v>
      </c>
      <c r="F160" s="44" t="n">
        <f aca="false">N(E160)-N(D160)</f>
        <v>302246</v>
      </c>
      <c r="G160" s="29" t="n">
        <f aca="false">Setup!$B$8+SUM($F$6:F160)</f>
        <v>1988144</v>
      </c>
      <c r="H160" s="45" t="s">
        <v>1273</v>
      </c>
      <c r="I160" s="27" t="str">
        <f aca="false">IF(COUNTIF(Cash_Book!$G$6:$G$304,C160)=0,"Not in books","In books")</f>
        <v>In books</v>
      </c>
    </row>
    <row r="161" customFormat="false" ht="15" hidden="false" customHeight="false" outlineLevel="0" collapsed="false">
      <c r="A161" s="41" t="n">
        <v>46216</v>
      </c>
      <c r="B161" s="45" t="s">
        <v>1429</v>
      </c>
      <c r="C161" s="5" t="s">
        <v>647</v>
      </c>
      <c r="D161" s="43"/>
      <c r="E161" s="43" t="n">
        <v>110064</v>
      </c>
      <c r="F161" s="44" t="n">
        <f aca="false">N(E161)-N(D161)</f>
        <v>110064</v>
      </c>
      <c r="G161" s="29" t="n">
        <f aca="false">Setup!$B$8+SUM($F$6:F161)</f>
        <v>2098208</v>
      </c>
      <c r="H161" s="45" t="s">
        <v>1273</v>
      </c>
      <c r="I161" s="27" t="str">
        <f aca="false">IF(COUNTIF(Cash_Book!$G$6:$G$304,C161)=0,"Not in books","In books")</f>
        <v>In books</v>
      </c>
    </row>
    <row r="162" customFormat="false" ht="15" hidden="false" customHeight="false" outlineLevel="0" collapsed="false">
      <c r="A162" s="41" t="n">
        <v>46217</v>
      </c>
      <c r="B162" s="45" t="s">
        <v>1430</v>
      </c>
      <c r="C162" s="5" t="s">
        <v>645</v>
      </c>
      <c r="D162" s="43"/>
      <c r="E162" s="43" t="n">
        <v>121413</v>
      </c>
      <c r="F162" s="44" t="n">
        <f aca="false">N(E162)-N(D162)</f>
        <v>121413</v>
      </c>
      <c r="G162" s="29" t="n">
        <f aca="false">Setup!$B$8+SUM($F$6:F162)</f>
        <v>2219621</v>
      </c>
      <c r="H162" s="45" t="s">
        <v>1273</v>
      </c>
      <c r="I162" s="27" t="str">
        <f aca="false">IF(COUNTIF(Cash_Book!$G$6:$G$304,C162)=0,"Not in books","In books")</f>
        <v>In books</v>
      </c>
    </row>
    <row r="163" customFormat="false" ht="15" hidden="false" customHeight="false" outlineLevel="0" collapsed="false">
      <c r="A163" s="41" t="n">
        <v>46217</v>
      </c>
      <c r="B163" s="45" t="s">
        <v>1431</v>
      </c>
      <c r="C163" s="5" t="s">
        <v>649</v>
      </c>
      <c r="D163" s="43"/>
      <c r="E163" s="43" t="n">
        <v>190471</v>
      </c>
      <c r="F163" s="44" t="n">
        <f aca="false">N(E163)-N(D163)</f>
        <v>190471</v>
      </c>
      <c r="G163" s="29" t="n">
        <f aca="false">Setup!$B$8+SUM($F$6:F163)</f>
        <v>2410092</v>
      </c>
      <c r="H163" s="45" t="s">
        <v>1273</v>
      </c>
      <c r="I163" s="27" t="str">
        <f aca="false">IF(COUNTIF(Cash_Book!$G$6:$G$304,C163)=0,"Not in books","In books")</f>
        <v>In books</v>
      </c>
    </row>
    <row r="164" customFormat="false" ht="15" hidden="false" customHeight="false" outlineLevel="0" collapsed="false">
      <c r="A164" s="41" t="n">
        <v>46217</v>
      </c>
      <c r="B164" s="45" t="s">
        <v>1432</v>
      </c>
      <c r="C164" s="5" t="s">
        <v>651</v>
      </c>
      <c r="D164" s="43"/>
      <c r="E164" s="43" t="n">
        <v>70625</v>
      </c>
      <c r="F164" s="44" t="n">
        <f aca="false">N(E164)-N(D164)</f>
        <v>70625</v>
      </c>
      <c r="G164" s="29" t="n">
        <f aca="false">Setup!$B$8+SUM($F$6:F164)</f>
        <v>2480717</v>
      </c>
      <c r="H164" s="45" t="s">
        <v>1273</v>
      </c>
      <c r="I164" s="27" t="str">
        <f aca="false">IF(COUNTIF(Cash_Book!$G$6:$G$304,C164)=0,"Not in books","In books")</f>
        <v>In books</v>
      </c>
    </row>
    <row r="165" customFormat="false" ht="15" hidden="false" customHeight="false" outlineLevel="0" collapsed="false">
      <c r="A165" s="41" t="n">
        <v>46218</v>
      </c>
      <c r="B165" s="45" t="s">
        <v>1433</v>
      </c>
      <c r="C165" s="5" t="s">
        <v>653</v>
      </c>
      <c r="D165" s="43"/>
      <c r="E165" s="43" t="n">
        <v>58331</v>
      </c>
      <c r="F165" s="44" t="n">
        <f aca="false">N(E165)-N(D165)</f>
        <v>58331</v>
      </c>
      <c r="G165" s="29" t="n">
        <f aca="false">Setup!$B$8+SUM($F$6:F165)</f>
        <v>2539048</v>
      </c>
      <c r="H165" s="45" t="s">
        <v>1273</v>
      </c>
      <c r="I165" s="27" t="str">
        <f aca="false">IF(COUNTIF(Cash_Book!$G$6:$G$304,C165)=0,"Not in books","In books")</f>
        <v>In books</v>
      </c>
    </row>
    <row r="166" customFormat="false" ht="15" hidden="false" customHeight="false" outlineLevel="0" collapsed="false">
      <c r="A166" s="41" t="n">
        <v>46218</v>
      </c>
      <c r="B166" s="45" t="s">
        <v>1434</v>
      </c>
      <c r="C166" s="5" t="s">
        <v>655</v>
      </c>
      <c r="D166" s="43"/>
      <c r="E166" s="43" t="n">
        <v>115733</v>
      </c>
      <c r="F166" s="44" t="n">
        <f aca="false">N(E166)-N(D166)</f>
        <v>115733</v>
      </c>
      <c r="G166" s="29" t="n">
        <f aca="false">Setup!$B$8+SUM($F$6:F166)</f>
        <v>2654781</v>
      </c>
      <c r="H166" s="45" t="s">
        <v>1273</v>
      </c>
      <c r="I166" s="27" t="str">
        <f aca="false">IF(COUNTIF(Cash_Book!$G$6:$G$304,C166)=0,"Not in books","In books")</f>
        <v>In books</v>
      </c>
    </row>
    <row r="167" customFormat="false" ht="15" hidden="false" customHeight="false" outlineLevel="0" collapsed="false">
      <c r="A167" s="41" t="n">
        <v>46218</v>
      </c>
      <c r="B167" s="45" t="s">
        <v>1435</v>
      </c>
      <c r="C167" s="5" t="s">
        <v>657</v>
      </c>
      <c r="D167" s="43"/>
      <c r="E167" s="43" t="n">
        <v>185761</v>
      </c>
      <c r="F167" s="44" t="n">
        <f aca="false">N(E167)-N(D167)</f>
        <v>185761</v>
      </c>
      <c r="G167" s="29" t="n">
        <f aca="false">Setup!$B$8+SUM($F$6:F167)</f>
        <v>2840542</v>
      </c>
      <c r="H167" s="45" t="s">
        <v>1273</v>
      </c>
      <c r="I167" s="27" t="str">
        <f aca="false">IF(COUNTIF(Cash_Book!$G$6:$G$304,C167)=0,"Not in books","In books")</f>
        <v>In books</v>
      </c>
    </row>
    <row r="168" customFormat="false" ht="15" hidden="false" customHeight="false" outlineLevel="0" collapsed="false">
      <c r="A168" s="41" t="n">
        <v>46219</v>
      </c>
      <c r="B168" s="45" t="s">
        <v>1436</v>
      </c>
      <c r="C168" s="5" t="s">
        <v>661</v>
      </c>
      <c r="D168" s="43"/>
      <c r="E168" s="43" t="n">
        <v>442222</v>
      </c>
      <c r="F168" s="44" t="n">
        <f aca="false">N(E168)-N(D168)</f>
        <v>442222</v>
      </c>
      <c r="G168" s="29" t="n">
        <f aca="false">Setup!$B$8+SUM($F$6:F168)</f>
        <v>3282764</v>
      </c>
      <c r="H168" s="45" t="s">
        <v>1273</v>
      </c>
      <c r="I168" s="27" t="str">
        <f aca="false">IF(COUNTIF(Cash_Book!$G$6:$G$304,C168)=0,"Not in books","In books")</f>
        <v>In books</v>
      </c>
    </row>
    <row r="169" customFormat="false" ht="15" hidden="false" customHeight="false" outlineLevel="0" collapsed="false">
      <c r="A169" s="41" t="n">
        <v>46220</v>
      </c>
      <c r="B169" s="45" t="s">
        <v>1437</v>
      </c>
      <c r="C169" s="5" t="s">
        <v>659</v>
      </c>
      <c r="D169" s="43"/>
      <c r="E169" s="43" t="n">
        <v>146154</v>
      </c>
      <c r="F169" s="44" t="n">
        <f aca="false">N(E169)-N(D169)</f>
        <v>146154</v>
      </c>
      <c r="G169" s="29" t="n">
        <f aca="false">Setup!$B$8+SUM($F$6:F169)</f>
        <v>3428918</v>
      </c>
      <c r="H169" s="45" t="s">
        <v>1273</v>
      </c>
      <c r="I169" s="27" t="str">
        <f aca="false">IF(COUNTIF(Cash_Book!$G$6:$G$304,C169)=0,"Not in books","In books")</f>
        <v>In books</v>
      </c>
    </row>
    <row r="170" customFormat="false" ht="15" hidden="false" customHeight="false" outlineLevel="0" collapsed="false">
      <c r="A170" s="41" t="n">
        <v>46221</v>
      </c>
      <c r="B170" s="45" t="s">
        <v>1438</v>
      </c>
      <c r="C170" s="5" t="s">
        <v>663</v>
      </c>
      <c r="D170" s="43"/>
      <c r="E170" s="43" t="n">
        <v>120297</v>
      </c>
      <c r="F170" s="44" t="n">
        <f aca="false">N(E170)-N(D170)</f>
        <v>120297</v>
      </c>
      <c r="G170" s="29" t="n">
        <f aca="false">Setup!$B$8+SUM($F$6:F170)</f>
        <v>3549215</v>
      </c>
      <c r="H170" s="45" t="s">
        <v>1273</v>
      </c>
      <c r="I170" s="27" t="str">
        <f aca="false">IF(COUNTIF(Cash_Book!$G$6:$G$304,C170)=0,"Not in books","In books")</f>
        <v>In books</v>
      </c>
    </row>
    <row r="171" customFormat="false" ht="15" hidden="false" customHeight="false" outlineLevel="0" collapsed="false">
      <c r="A171" s="41" t="n">
        <v>46223</v>
      </c>
      <c r="B171" s="45" t="s">
        <v>1439</v>
      </c>
      <c r="C171" s="5" t="s">
        <v>1107</v>
      </c>
      <c r="D171" s="43" t="n">
        <v>210000</v>
      </c>
      <c r="E171" s="43"/>
      <c r="F171" s="44" t="n">
        <f aca="false">N(E171)-N(D171)</f>
        <v>-210000</v>
      </c>
      <c r="G171" s="29" t="n">
        <f aca="false">Setup!$B$8+SUM($F$6:F171)</f>
        <v>3339215</v>
      </c>
      <c r="H171" s="45" t="s">
        <v>1287</v>
      </c>
      <c r="I171" s="27" t="str">
        <f aca="false">IF(COUNTIF(Cash_Book!$G$6:$G$304,C171)=0,"Not in books","In books")</f>
        <v>In books</v>
      </c>
    </row>
    <row r="172" customFormat="false" ht="15" hidden="false" customHeight="false" outlineLevel="0" collapsed="false">
      <c r="A172" s="41" t="n">
        <v>46224</v>
      </c>
      <c r="B172" s="45" t="s">
        <v>1440</v>
      </c>
      <c r="C172" s="5" t="s">
        <v>665</v>
      </c>
      <c r="D172" s="43"/>
      <c r="E172" s="43" t="n">
        <v>518574</v>
      </c>
      <c r="F172" s="44" t="n">
        <f aca="false">N(E172)-N(D172)</f>
        <v>518574</v>
      </c>
      <c r="G172" s="29" t="n">
        <f aca="false">Setup!$B$8+SUM($F$6:F172)</f>
        <v>3857789</v>
      </c>
      <c r="H172" s="45" t="s">
        <v>1273</v>
      </c>
      <c r="I172" s="27" t="str">
        <f aca="false">IF(COUNTIF(Cash_Book!$G$6:$G$304,C172)=0,"Not in books","In books")</f>
        <v>In books</v>
      </c>
    </row>
    <row r="173" customFormat="false" ht="15" hidden="false" customHeight="false" outlineLevel="0" collapsed="false">
      <c r="A173" s="41" t="n">
        <v>46224</v>
      </c>
      <c r="B173" s="45" t="s">
        <v>1441</v>
      </c>
      <c r="C173" s="5" t="s">
        <v>667</v>
      </c>
      <c r="D173" s="43"/>
      <c r="E173" s="43" t="n">
        <v>140233</v>
      </c>
      <c r="F173" s="44" t="n">
        <f aca="false">N(E173)-N(D173)</f>
        <v>140233</v>
      </c>
      <c r="G173" s="29" t="n">
        <f aca="false">Setup!$B$8+SUM($F$6:F173)</f>
        <v>3998022</v>
      </c>
      <c r="H173" s="45" t="s">
        <v>1273</v>
      </c>
      <c r="I173" s="27" t="str">
        <f aca="false">IF(COUNTIF(Cash_Book!$G$6:$G$304,C173)=0,"Not in books","In books")</f>
        <v>In books</v>
      </c>
    </row>
    <row r="174" customFormat="false" ht="15" hidden="false" customHeight="false" outlineLevel="0" collapsed="false">
      <c r="A174" s="41" t="n">
        <v>46225</v>
      </c>
      <c r="B174" s="45" t="s">
        <v>1442</v>
      </c>
      <c r="C174" s="5" t="s">
        <v>669</v>
      </c>
      <c r="D174" s="43"/>
      <c r="E174" s="43" t="n">
        <v>189315</v>
      </c>
      <c r="F174" s="44" t="n">
        <f aca="false">N(E174)-N(D174)</f>
        <v>189315</v>
      </c>
      <c r="G174" s="29" t="n">
        <f aca="false">Setup!$B$8+SUM($F$6:F174)</f>
        <v>4187337</v>
      </c>
      <c r="H174" s="45" t="s">
        <v>1273</v>
      </c>
      <c r="I174" s="27" t="str">
        <f aca="false">IF(COUNTIF(Cash_Book!$G$6:$G$304,C174)=0,"Not in books","In books")</f>
        <v>In books</v>
      </c>
    </row>
    <row r="175" customFormat="false" ht="15" hidden="false" customHeight="false" outlineLevel="0" collapsed="false">
      <c r="A175" s="41" t="n">
        <v>46225</v>
      </c>
      <c r="B175" s="45" t="s">
        <v>1443</v>
      </c>
      <c r="C175" s="5" t="s">
        <v>673</v>
      </c>
      <c r="D175" s="43"/>
      <c r="E175" s="43" t="n">
        <v>188210</v>
      </c>
      <c r="F175" s="44" t="n">
        <f aca="false">N(E175)-N(D175)</f>
        <v>188210</v>
      </c>
      <c r="G175" s="29" t="n">
        <f aca="false">Setup!$B$8+SUM($F$6:F175)</f>
        <v>4375547</v>
      </c>
      <c r="H175" s="45" t="s">
        <v>1273</v>
      </c>
      <c r="I175" s="27" t="str">
        <f aca="false">IF(COUNTIF(Cash_Book!$G$6:$G$304,C175)=0,"Not in books","In books")</f>
        <v>In books</v>
      </c>
    </row>
    <row r="176" customFormat="false" ht="15" hidden="false" customHeight="false" outlineLevel="0" collapsed="false">
      <c r="A176" s="41" t="n">
        <v>46226</v>
      </c>
      <c r="B176" s="45" t="s">
        <v>1444</v>
      </c>
      <c r="C176" s="5" t="s">
        <v>675</v>
      </c>
      <c r="D176" s="43"/>
      <c r="E176" s="43" t="n">
        <v>139616</v>
      </c>
      <c r="F176" s="44" t="n">
        <f aca="false">N(E176)-N(D176)</f>
        <v>139616</v>
      </c>
      <c r="G176" s="29" t="n">
        <f aca="false">Setup!$B$8+SUM($F$6:F176)</f>
        <v>4515163</v>
      </c>
      <c r="H176" s="45" t="s">
        <v>1273</v>
      </c>
      <c r="I176" s="27" t="str">
        <f aca="false">IF(COUNTIF(Cash_Book!$G$6:$G$304,C176)=0,"Not in books","In books")</f>
        <v>In books</v>
      </c>
    </row>
    <row r="177" customFormat="false" ht="15" hidden="false" customHeight="false" outlineLevel="0" collapsed="false">
      <c r="A177" s="41" t="n">
        <v>46226</v>
      </c>
      <c r="B177" s="45" t="s">
        <v>1445</v>
      </c>
      <c r="C177" s="5" t="s">
        <v>677</v>
      </c>
      <c r="D177" s="43"/>
      <c r="E177" s="43" t="n">
        <v>420434</v>
      </c>
      <c r="F177" s="44" t="n">
        <f aca="false">N(E177)-N(D177)</f>
        <v>420434</v>
      </c>
      <c r="G177" s="29" t="n">
        <f aca="false">Setup!$B$8+SUM($F$6:F177)</f>
        <v>4935597</v>
      </c>
      <c r="H177" s="45" t="s">
        <v>1273</v>
      </c>
      <c r="I177" s="27" t="str">
        <f aca="false">IF(COUNTIF(Cash_Book!$G$6:$G$304,C177)=0,"Not in books","In books")</f>
        <v>In books</v>
      </c>
    </row>
    <row r="178" customFormat="false" ht="15" hidden="false" customHeight="false" outlineLevel="0" collapsed="false">
      <c r="A178" s="41" t="n">
        <v>46227</v>
      </c>
      <c r="B178" s="45" t="s">
        <v>1446</v>
      </c>
      <c r="C178" s="5" t="s">
        <v>679</v>
      </c>
      <c r="D178" s="43"/>
      <c r="E178" s="43" t="n">
        <v>506035</v>
      </c>
      <c r="F178" s="44" t="n">
        <f aca="false">N(E178)-N(D178)</f>
        <v>506035</v>
      </c>
      <c r="G178" s="29" t="n">
        <f aca="false">Setup!$B$8+SUM($F$6:F178)</f>
        <v>5441632</v>
      </c>
      <c r="H178" s="45" t="s">
        <v>1273</v>
      </c>
      <c r="I178" s="27" t="str">
        <f aca="false">IF(COUNTIF(Cash_Book!$G$6:$G$304,C178)=0,"Not in books","In books")</f>
        <v>In books</v>
      </c>
    </row>
    <row r="179" customFormat="false" ht="15" hidden="false" customHeight="false" outlineLevel="0" collapsed="false">
      <c r="A179" s="41" t="n">
        <v>46227</v>
      </c>
      <c r="B179" s="45" t="s">
        <v>1447</v>
      </c>
      <c r="C179" s="5" t="s">
        <v>1117</v>
      </c>
      <c r="D179" s="43" t="n">
        <v>4569000</v>
      </c>
      <c r="E179" s="43"/>
      <c r="F179" s="44" t="n">
        <f aca="false">N(E179)-N(D179)</f>
        <v>-4569000</v>
      </c>
      <c r="G179" s="29" t="n">
        <f aca="false">Setup!$B$8+SUM($F$6:F179)</f>
        <v>872632</v>
      </c>
      <c r="H179" s="45" t="s">
        <v>1275</v>
      </c>
      <c r="I179" s="27" t="str">
        <f aca="false">IF(COUNTIF(Cash_Book!$G$6:$G$304,C179)=0,"Not in books","In books")</f>
        <v>In books</v>
      </c>
    </row>
    <row r="180" customFormat="false" ht="15" hidden="false" customHeight="false" outlineLevel="0" collapsed="false">
      <c r="A180" s="41" t="n">
        <v>46228</v>
      </c>
      <c r="B180" s="45" t="s">
        <v>1448</v>
      </c>
      <c r="C180" s="5" t="s">
        <v>671</v>
      </c>
      <c r="D180" s="43"/>
      <c r="E180" s="43" t="n">
        <v>121206</v>
      </c>
      <c r="F180" s="44" t="n">
        <f aca="false">N(E180)-N(D180)</f>
        <v>121206</v>
      </c>
      <c r="G180" s="29" t="n">
        <f aca="false">Setup!$B$8+SUM($F$6:F180)</f>
        <v>993838</v>
      </c>
      <c r="H180" s="45" t="s">
        <v>1273</v>
      </c>
      <c r="I180" s="27" t="str">
        <f aca="false">IF(COUNTIF(Cash_Book!$G$6:$G$304,C180)=0,"Not in books","In books")</f>
        <v>In books</v>
      </c>
    </row>
    <row r="181" customFormat="false" ht="15" hidden="false" customHeight="false" outlineLevel="0" collapsed="false">
      <c r="A181" s="41" t="n">
        <v>46228</v>
      </c>
      <c r="B181" s="45" t="s">
        <v>1449</v>
      </c>
      <c r="C181" s="5" t="s">
        <v>681</v>
      </c>
      <c r="D181" s="43"/>
      <c r="E181" s="43" t="n">
        <v>136512</v>
      </c>
      <c r="F181" s="44" t="n">
        <f aca="false">N(E181)-N(D181)</f>
        <v>136512</v>
      </c>
      <c r="G181" s="29" t="n">
        <f aca="false">Setup!$B$8+SUM($F$6:F181)</f>
        <v>1130350</v>
      </c>
      <c r="H181" s="45" t="s">
        <v>1273</v>
      </c>
      <c r="I181" s="27" t="str">
        <f aca="false">IF(COUNTIF(Cash_Book!$G$6:$G$304,C181)=0,"Not in books","In books")</f>
        <v>In books</v>
      </c>
    </row>
    <row r="182" customFormat="false" ht="15" hidden="false" customHeight="false" outlineLevel="0" collapsed="false">
      <c r="A182" s="41" t="n">
        <v>46228</v>
      </c>
      <c r="B182" s="45" t="s">
        <v>1450</v>
      </c>
      <c r="C182" s="5" t="s">
        <v>685</v>
      </c>
      <c r="D182" s="43"/>
      <c r="E182" s="43" t="n">
        <v>50479</v>
      </c>
      <c r="F182" s="44" t="n">
        <f aca="false">N(E182)-N(D182)</f>
        <v>50479</v>
      </c>
      <c r="G182" s="29" t="n">
        <f aca="false">Setup!$B$8+SUM($F$6:F182)</f>
        <v>1180829</v>
      </c>
      <c r="H182" s="45" t="s">
        <v>1273</v>
      </c>
      <c r="I182" s="27" t="str">
        <f aca="false">IF(COUNTIF(Cash_Book!$G$6:$G$304,C182)=0,"Not in books","In books")</f>
        <v>In books</v>
      </c>
    </row>
    <row r="183" customFormat="false" ht="15" hidden="false" customHeight="false" outlineLevel="0" collapsed="false">
      <c r="A183" s="41" t="n">
        <v>46229</v>
      </c>
      <c r="B183" s="45" t="s">
        <v>1451</v>
      </c>
      <c r="C183" s="5" t="s">
        <v>689</v>
      </c>
      <c r="D183" s="43"/>
      <c r="E183" s="43" t="n">
        <v>287796</v>
      </c>
      <c r="F183" s="44" t="n">
        <f aca="false">N(E183)-N(D183)</f>
        <v>287796</v>
      </c>
      <c r="G183" s="29" t="n">
        <f aca="false">Setup!$B$8+SUM($F$6:F183)</f>
        <v>1468625</v>
      </c>
      <c r="H183" s="45" t="s">
        <v>1273</v>
      </c>
      <c r="I183" s="27" t="str">
        <f aca="false">IF(COUNTIF(Cash_Book!$G$6:$G$304,C183)=0,"Not in books","In books")</f>
        <v>In books</v>
      </c>
    </row>
    <row r="184" customFormat="false" ht="15" hidden="false" customHeight="false" outlineLevel="0" collapsed="false">
      <c r="A184" s="41" t="n">
        <v>46229</v>
      </c>
      <c r="B184" s="45" t="s">
        <v>1452</v>
      </c>
      <c r="C184" s="5" t="s">
        <v>1122</v>
      </c>
      <c r="D184" s="43" t="n">
        <v>121672</v>
      </c>
      <c r="E184" s="43"/>
      <c r="F184" s="44" t="n">
        <f aca="false">N(E184)-N(D184)</f>
        <v>-121672</v>
      </c>
      <c r="G184" s="29" t="n">
        <f aca="false">Setup!$B$8+SUM($F$6:F184)</f>
        <v>1346953</v>
      </c>
      <c r="H184" s="45" t="s">
        <v>1269</v>
      </c>
      <c r="I184" s="27" t="str">
        <f aca="false">IF(COUNTIF(Cash_Book!$G$6:$G$304,C184)=0,"Not in books","In books")</f>
        <v>In books</v>
      </c>
    </row>
    <row r="185" customFormat="false" ht="15" hidden="false" customHeight="false" outlineLevel="0" collapsed="false">
      <c r="A185" s="41" t="n">
        <v>46230</v>
      </c>
      <c r="B185" s="45" t="s">
        <v>1453</v>
      </c>
      <c r="C185" s="5" t="s">
        <v>683</v>
      </c>
      <c r="D185" s="43"/>
      <c r="E185" s="43" t="n">
        <v>125040</v>
      </c>
      <c r="F185" s="44" t="n">
        <f aca="false">N(E185)-N(D185)</f>
        <v>125040</v>
      </c>
      <c r="G185" s="29" t="n">
        <f aca="false">Setup!$B$8+SUM($F$6:F185)</f>
        <v>1471993</v>
      </c>
      <c r="H185" s="45" t="s">
        <v>1273</v>
      </c>
      <c r="I185" s="27" t="str">
        <f aca="false">IF(COUNTIF(Cash_Book!$G$6:$G$304,C185)=0,"Not in books","In books")</f>
        <v>In books</v>
      </c>
    </row>
    <row r="186" customFormat="false" ht="15" hidden="false" customHeight="false" outlineLevel="0" collapsed="false">
      <c r="A186" s="41" t="n">
        <v>46231</v>
      </c>
      <c r="B186" s="45" t="s">
        <v>1454</v>
      </c>
      <c r="C186" s="5" t="s">
        <v>687</v>
      </c>
      <c r="D186" s="43"/>
      <c r="E186" s="43" t="n">
        <v>207167</v>
      </c>
      <c r="F186" s="44" t="n">
        <f aca="false">N(E186)-N(D186)</f>
        <v>207167</v>
      </c>
      <c r="G186" s="29" t="n">
        <f aca="false">Setup!$B$8+SUM($F$6:F186)</f>
        <v>1679160</v>
      </c>
      <c r="H186" s="45" t="s">
        <v>1273</v>
      </c>
      <c r="I186" s="27" t="str">
        <f aca="false">IF(COUNTIF(Cash_Book!$G$6:$G$304,C186)=0,"Not in books","In books")</f>
        <v>In books</v>
      </c>
    </row>
    <row r="187" customFormat="false" ht="15" hidden="false" customHeight="false" outlineLevel="0" collapsed="false">
      <c r="A187" s="41" t="n">
        <v>46232</v>
      </c>
      <c r="B187" s="45" t="s">
        <v>1455</v>
      </c>
      <c r="C187" s="5" t="s">
        <v>691</v>
      </c>
      <c r="D187" s="43"/>
      <c r="E187" s="43" t="n">
        <v>162976</v>
      </c>
      <c r="F187" s="44" t="n">
        <f aca="false">N(E187)-N(D187)</f>
        <v>162976</v>
      </c>
      <c r="G187" s="29" t="n">
        <f aca="false">Setup!$B$8+SUM($F$6:F187)</f>
        <v>1842136</v>
      </c>
      <c r="H187" s="45" t="s">
        <v>1273</v>
      </c>
      <c r="I187" s="27" t="str">
        <f aca="false">IF(COUNTIF(Cash_Book!$G$6:$G$304,C187)=0,"Not in books","In books")</f>
        <v>In books</v>
      </c>
    </row>
    <row r="188" customFormat="false" ht="15" hidden="false" customHeight="false" outlineLevel="0" collapsed="false">
      <c r="A188" s="41" t="n">
        <v>46234</v>
      </c>
      <c r="B188" s="45" t="s">
        <v>1456</v>
      </c>
      <c r="C188" s="5" t="s">
        <v>699</v>
      </c>
      <c r="D188" s="43"/>
      <c r="E188" s="43" t="n">
        <v>232384</v>
      </c>
      <c r="F188" s="44" t="n">
        <f aca="false">N(E188)-N(D188)</f>
        <v>232384</v>
      </c>
      <c r="G188" s="29" t="n">
        <f aca="false">Setup!$B$8+SUM($F$6:F188)</f>
        <v>2074520</v>
      </c>
      <c r="H188" s="45" t="s">
        <v>1273</v>
      </c>
      <c r="I188" s="27" t="str">
        <f aca="false">IF(COUNTIF(Cash_Book!$G$6:$G$304,C188)=0,"Not in books","In books")</f>
        <v>In books</v>
      </c>
    </row>
    <row r="189" customFormat="false" ht="15" hidden="false" customHeight="false" outlineLevel="0" collapsed="false">
      <c r="A189" s="41" t="n">
        <v>46234</v>
      </c>
      <c r="B189" s="45" t="s">
        <v>1457</v>
      </c>
      <c r="C189" s="5" t="s">
        <v>1130</v>
      </c>
      <c r="D189" s="43" t="n">
        <v>621</v>
      </c>
      <c r="E189" s="43"/>
      <c r="F189" s="44" t="n">
        <f aca="false">N(E189)-N(D189)</f>
        <v>-621</v>
      </c>
      <c r="G189" s="29" t="n">
        <f aca="false">Setup!$B$8+SUM($F$6:F189)</f>
        <v>2073899</v>
      </c>
      <c r="H189" s="45" t="s">
        <v>1308</v>
      </c>
      <c r="I189" s="27" t="str">
        <f aca="false">IF(COUNTIF(Cash_Book!$G$6:$G$304,C189)=0,"Not in books","In books")</f>
        <v>In books</v>
      </c>
    </row>
    <row r="190" customFormat="false" ht="15" hidden="false" customHeight="false" outlineLevel="0" collapsed="false">
      <c r="A190" s="41" t="n">
        <v>46235</v>
      </c>
      <c r="B190" s="45" t="s">
        <v>1458</v>
      </c>
      <c r="C190" s="5" t="s">
        <v>697</v>
      </c>
      <c r="D190" s="43"/>
      <c r="E190" s="43" t="n">
        <v>69511</v>
      </c>
      <c r="F190" s="44" t="n">
        <f aca="false">N(E190)-N(D190)</f>
        <v>69511</v>
      </c>
      <c r="G190" s="29" t="n">
        <f aca="false">Setup!$B$8+SUM($F$6:F190)</f>
        <v>2143410</v>
      </c>
      <c r="H190" s="45" t="s">
        <v>1273</v>
      </c>
      <c r="I190" s="27" t="str">
        <f aca="false">IF(COUNTIF(Cash_Book!$G$6:$G$304,C190)=0,"Not in books","In books")</f>
        <v>In books</v>
      </c>
    </row>
    <row r="191" customFormat="false" ht="15" hidden="false" customHeight="false" outlineLevel="0" collapsed="false">
      <c r="A191" s="41" t="n">
        <v>46235</v>
      </c>
      <c r="B191" s="45" t="s">
        <v>1459</v>
      </c>
      <c r="C191" s="5" t="s">
        <v>701</v>
      </c>
      <c r="D191" s="43"/>
      <c r="E191" s="43" t="n">
        <v>198942</v>
      </c>
      <c r="F191" s="44" t="n">
        <f aca="false">N(E191)-N(D191)</f>
        <v>198942</v>
      </c>
      <c r="G191" s="29" t="n">
        <f aca="false">Setup!$B$8+SUM($F$6:F191)</f>
        <v>2342352</v>
      </c>
      <c r="H191" s="45" t="s">
        <v>1273</v>
      </c>
      <c r="I191" s="27" t="str">
        <f aca="false">IF(COUNTIF(Cash_Book!$G$6:$G$304,C191)=0,"Not in books","In books")</f>
        <v>In books</v>
      </c>
    </row>
    <row r="192" customFormat="false" ht="15" hidden="false" customHeight="false" outlineLevel="0" collapsed="false">
      <c r="A192" s="41" t="n">
        <v>46235</v>
      </c>
      <c r="B192" s="45" t="s">
        <v>1460</v>
      </c>
      <c r="C192" s="5" t="s">
        <v>1134</v>
      </c>
      <c r="D192" s="43" t="n">
        <v>350000</v>
      </c>
      <c r="E192" s="43"/>
      <c r="F192" s="44" t="n">
        <f aca="false">N(E192)-N(D192)</f>
        <v>-350000</v>
      </c>
      <c r="G192" s="29" t="n">
        <f aca="false">Setup!$B$8+SUM($F$6:F192)</f>
        <v>1992352</v>
      </c>
      <c r="H192" s="45" t="s">
        <v>1267</v>
      </c>
      <c r="I192" s="27" t="str">
        <f aca="false">IF(COUNTIF(Cash_Book!$G$6:$G$304,C192)=0,"Not in books","In books")</f>
        <v>In books</v>
      </c>
    </row>
    <row r="193" customFormat="false" ht="15" hidden="false" customHeight="false" outlineLevel="0" collapsed="false">
      <c r="A193" s="41" t="n">
        <v>46236</v>
      </c>
      <c r="B193" s="45" t="s">
        <v>1461</v>
      </c>
      <c r="C193" s="5" t="s">
        <v>693</v>
      </c>
      <c r="D193" s="43"/>
      <c r="E193" s="43" t="n">
        <v>322513</v>
      </c>
      <c r="F193" s="44" t="n">
        <f aca="false">N(E193)-N(D193)</f>
        <v>322513</v>
      </c>
      <c r="G193" s="29" t="n">
        <f aca="false">Setup!$B$8+SUM($F$6:F193)</f>
        <v>2314865</v>
      </c>
      <c r="H193" s="45" t="s">
        <v>1273</v>
      </c>
      <c r="I193" s="27" t="str">
        <f aca="false">IF(COUNTIF(Cash_Book!$G$6:$G$304,C193)=0,"Not in books","In books")</f>
        <v>In books</v>
      </c>
    </row>
    <row r="194" customFormat="false" ht="15" hidden="false" customHeight="false" outlineLevel="0" collapsed="false">
      <c r="A194" s="41" t="n">
        <v>46236</v>
      </c>
      <c r="B194" s="45" t="s">
        <v>1462</v>
      </c>
      <c r="C194" s="5" t="s">
        <v>695</v>
      </c>
      <c r="D194" s="43"/>
      <c r="E194" s="43" t="n">
        <v>327167</v>
      </c>
      <c r="F194" s="44" t="n">
        <f aca="false">N(E194)-N(D194)</f>
        <v>327167</v>
      </c>
      <c r="G194" s="29" t="n">
        <f aca="false">Setup!$B$8+SUM($F$6:F194)</f>
        <v>2642032</v>
      </c>
      <c r="H194" s="45" t="s">
        <v>1273</v>
      </c>
      <c r="I194" s="27" t="str">
        <f aca="false">IF(COUNTIF(Cash_Book!$G$6:$G$304,C194)=0,"Not in books","In books")</f>
        <v>In books</v>
      </c>
    </row>
    <row r="195" customFormat="false" ht="15" hidden="false" customHeight="false" outlineLevel="0" collapsed="false">
      <c r="A195" s="41" t="n">
        <v>46236</v>
      </c>
      <c r="B195" s="45" t="s">
        <v>1463</v>
      </c>
      <c r="C195" s="5" t="s">
        <v>703</v>
      </c>
      <c r="D195" s="43"/>
      <c r="E195" s="43" t="n">
        <v>179046</v>
      </c>
      <c r="F195" s="44" t="n">
        <f aca="false">N(E195)-N(D195)</f>
        <v>179046</v>
      </c>
      <c r="G195" s="29" t="n">
        <f aca="false">Setup!$B$8+SUM($F$6:F195)</f>
        <v>2821078</v>
      </c>
      <c r="H195" s="45" t="s">
        <v>1273</v>
      </c>
      <c r="I195" s="27" t="str">
        <f aca="false">IF(COUNTIF(Cash_Book!$G$6:$G$304,C195)=0,"Not in books","In books")</f>
        <v>In books</v>
      </c>
    </row>
    <row r="196" customFormat="false" ht="15" hidden="false" customHeight="false" outlineLevel="0" collapsed="false">
      <c r="A196" s="41" t="n">
        <v>46237</v>
      </c>
      <c r="B196" s="45" t="s">
        <v>1464</v>
      </c>
      <c r="C196" s="5" t="s">
        <v>705</v>
      </c>
      <c r="D196" s="43"/>
      <c r="E196" s="43" t="n">
        <v>234078</v>
      </c>
      <c r="F196" s="44" t="n">
        <f aca="false">N(E196)-N(D196)</f>
        <v>234078</v>
      </c>
      <c r="G196" s="29" t="n">
        <f aca="false">Setup!$B$8+SUM($F$6:F196)</f>
        <v>3055156</v>
      </c>
      <c r="H196" s="45" t="s">
        <v>1273</v>
      </c>
      <c r="I196" s="27" t="str">
        <f aca="false">IF(COUNTIF(Cash_Book!$G$6:$G$304,C196)=0,"Not in books","In books")</f>
        <v>In books</v>
      </c>
    </row>
    <row r="197" customFormat="false" ht="15" hidden="false" customHeight="false" outlineLevel="0" collapsed="false">
      <c r="A197" s="41" t="n">
        <v>46239</v>
      </c>
      <c r="B197" s="45" t="s">
        <v>1465</v>
      </c>
      <c r="C197" s="5" t="s">
        <v>711</v>
      </c>
      <c r="D197" s="43"/>
      <c r="E197" s="43" t="n">
        <v>145531</v>
      </c>
      <c r="F197" s="44" t="n">
        <f aca="false">N(E197)-N(D197)</f>
        <v>145531</v>
      </c>
      <c r="G197" s="29" t="n">
        <f aca="false">Setup!$B$8+SUM($F$6:F197)</f>
        <v>3200687</v>
      </c>
      <c r="H197" s="45" t="s">
        <v>1273</v>
      </c>
      <c r="I197" s="27" t="str">
        <f aca="false">IF(COUNTIF(Cash_Book!$G$6:$G$304,C197)=0,"Not in books","In books")</f>
        <v>In books</v>
      </c>
    </row>
    <row r="198" customFormat="false" ht="15" hidden="false" customHeight="false" outlineLevel="0" collapsed="false">
      <c r="A198" s="41" t="n">
        <v>46239</v>
      </c>
      <c r="B198" s="45" t="s">
        <v>1466</v>
      </c>
      <c r="C198" s="5" t="s">
        <v>713</v>
      </c>
      <c r="D198" s="43"/>
      <c r="E198" s="43" t="n">
        <v>355859</v>
      </c>
      <c r="F198" s="44" t="n">
        <f aca="false">N(E198)-N(D198)</f>
        <v>355859</v>
      </c>
      <c r="G198" s="29" t="n">
        <f aca="false">Setup!$B$8+SUM($F$6:F198)</f>
        <v>3556546</v>
      </c>
      <c r="H198" s="45" t="s">
        <v>1273</v>
      </c>
      <c r="I198" s="27" t="str">
        <f aca="false">IF(COUNTIF(Cash_Book!$G$6:$G$304,C198)=0,"Not in books","In books")</f>
        <v>In books</v>
      </c>
    </row>
    <row r="199" customFormat="false" ht="15" hidden="false" customHeight="false" outlineLevel="0" collapsed="false">
      <c r="A199" s="41" t="n">
        <v>46239</v>
      </c>
      <c r="B199" s="45" t="s">
        <v>1467</v>
      </c>
      <c r="C199" s="5" t="s">
        <v>715</v>
      </c>
      <c r="D199" s="43"/>
      <c r="E199" s="43" t="n">
        <v>257455</v>
      </c>
      <c r="F199" s="44" t="n">
        <f aca="false">N(E199)-N(D199)</f>
        <v>257455</v>
      </c>
      <c r="G199" s="29" t="n">
        <f aca="false">Setup!$B$8+SUM($F$6:F199)</f>
        <v>3814001</v>
      </c>
      <c r="H199" s="45" t="s">
        <v>1273</v>
      </c>
      <c r="I199" s="27" t="str">
        <f aca="false">IF(COUNTIF(Cash_Book!$G$6:$G$304,C199)=0,"Not in books","In books")</f>
        <v>In books</v>
      </c>
    </row>
    <row r="200" customFormat="false" ht="15" hidden="false" customHeight="false" outlineLevel="0" collapsed="false">
      <c r="A200" s="41" t="n">
        <v>46239</v>
      </c>
      <c r="B200" s="45" t="s">
        <v>1468</v>
      </c>
      <c r="C200" s="5" t="s">
        <v>1143</v>
      </c>
      <c r="D200" s="43" t="n">
        <v>95000</v>
      </c>
      <c r="E200" s="43"/>
      <c r="F200" s="44" t="n">
        <f aca="false">N(E200)-N(D200)</f>
        <v>-95000</v>
      </c>
      <c r="G200" s="29" t="n">
        <f aca="false">Setup!$B$8+SUM($F$6:F200)</f>
        <v>3719001</v>
      </c>
      <c r="H200" s="45" t="s">
        <v>1271</v>
      </c>
      <c r="I200" s="27" t="str">
        <f aca="false">IF(COUNTIF(Cash_Book!$G$6:$G$304,C200)=0,"Not in books","In books")</f>
        <v>In books</v>
      </c>
    </row>
    <row r="201" customFormat="false" ht="15" hidden="false" customHeight="false" outlineLevel="0" collapsed="false">
      <c r="A201" s="41" t="n">
        <v>46240</v>
      </c>
      <c r="B201" s="45" t="s">
        <v>1469</v>
      </c>
      <c r="C201" s="5" t="s">
        <v>707</v>
      </c>
      <c r="D201" s="43"/>
      <c r="E201" s="43" t="n">
        <v>293449</v>
      </c>
      <c r="F201" s="44" t="n">
        <f aca="false">N(E201)-N(D201)</f>
        <v>293449</v>
      </c>
      <c r="G201" s="29" t="n">
        <f aca="false">Setup!$B$8+SUM($F$6:F201)</f>
        <v>4012450</v>
      </c>
      <c r="H201" s="45" t="s">
        <v>1273</v>
      </c>
      <c r="I201" s="27" t="str">
        <f aca="false">IF(COUNTIF(Cash_Book!$G$6:$G$304,C201)=0,"Not in books","In books")</f>
        <v>In books</v>
      </c>
    </row>
    <row r="202" customFormat="false" ht="15" hidden="false" customHeight="false" outlineLevel="0" collapsed="false">
      <c r="A202" s="41" t="n">
        <v>46240</v>
      </c>
      <c r="B202" s="45" t="s">
        <v>1470</v>
      </c>
      <c r="C202" s="5" t="s">
        <v>709</v>
      </c>
      <c r="D202" s="43"/>
      <c r="E202" s="43" t="n">
        <v>110566</v>
      </c>
      <c r="F202" s="44" t="n">
        <f aca="false">N(E202)-N(D202)</f>
        <v>110566</v>
      </c>
      <c r="G202" s="29" t="n">
        <f aca="false">Setup!$B$8+SUM($F$6:F202)</f>
        <v>4123016</v>
      </c>
      <c r="H202" s="45" t="s">
        <v>1273</v>
      </c>
      <c r="I202" s="27" t="str">
        <f aca="false">IF(COUNTIF(Cash_Book!$G$6:$G$304,C202)=0,"Not in books","In books")</f>
        <v>In books</v>
      </c>
    </row>
    <row r="203" customFormat="false" ht="15" hidden="false" customHeight="false" outlineLevel="0" collapsed="false">
      <c r="A203" s="41" t="n">
        <v>46240</v>
      </c>
      <c r="B203" s="45" t="s">
        <v>1471</v>
      </c>
      <c r="C203" s="5" t="s">
        <v>717</v>
      </c>
      <c r="D203" s="43"/>
      <c r="E203" s="43" t="n">
        <v>217639</v>
      </c>
      <c r="F203" s="44" t="n">
        <f aca="false">N(E203)-N(D203)</f>
        <v>217639</v>
      </c>
      <c r="G203" s="29" t="n">
        <f aca="false">Setup!$B$8+SUM($F$6:F203)</f>
        <v>4340655</v>
      </c>
      <c r="H203" s="45" t="s">
        <v>1273</v>
      </c>
      <c r="I203" s="27" t="str">
        <f aca="false">IF(COUNTIF(Cash_Book!$G$6:$G$304,C203)=0,"Not in books","In books")</f>
        <v>In books</v>
      </c>
    </row>
    <row r="204" customFormat="false" ht="15" hidden="false" customHeight="false" outlineLevel="0" collapsed="false">
      <c r="A204" s="41" t="n">
        <v>46242</v>
      </c>
      <c r="B204" s="45" t="s">
        <v>1472</v>
      </c>
      <c r="C204" s="5" t="s">
        <v>721</v>
      </c>
      <c r="D204" s="43"/>
      <c r="E204" s="43" t="n">
        <v>270299</v>
      </c>
      <c r="F204" s="44" t="n">
        <f aca="false">N(E204)-N(D204)</f>
        <v>270299</v>
      </c>
      <c r="G204" s="29" t="n">
        <f aca="false">Setup!$B$8+SUM($F$6:F204)</f>
        <v>4610954</v>
      </c>
      <c r="H204" s="45" t="s">
        <v>1273</v>
      </c>
      <c r="I204" s="27" t="str">
        <f aca="false">IF(COUNTIF(Cash_Book!$G$6:$G$304,C204)=0,"Not in books","In books")</f>
        <v>In books</v>
      </c>
    </row>
    <row r="205" customFormat="false" ht="15" hidden="false" customHeight="false" outlineLevel="0" collapsed="false">
      <c r="A205" s="41" t="n">
        <v>46243</v>
      </c>
      <c r="B205" s="45" t="s">
        <v>1473</v>
      </c>
      <c r="C205" s="5" t="s">
        <v>719</v>
      </c>
      <c r="D205" s="43"/>
      <c r="E205" s="43" t="n">
        <v>429166</v>
      </c>
      <c r="F205" s="44" t="n">
        <f aca="false">N(E205)-N(D205)</f>
        <v>429166</v>
      </c>
      <c r="G205" s="29" t="n">
        <f aca="false">Setup!$B$8+SUM($F$6:F205)</f>
        <v>5040120</v>
      </c>
      <c r="H205" s="45" t="s">
        <v>1273</v>
      </c>
      <c r="I205" s="27" t="str">
        <f aca="false">IF(COUNTIF(Cash_Book!$G$6:$G$304,C205)=0,"Not in books","In books")</f>
        <v>In books</v>
      </c>
    </row>
    <row r="206" customFormat="false" ht="15" hidden="false" customHeight="false" outlineLevel="0" collapsed="false">
      <c r="A206" s="41" t="n">
        <v>46243</v>
      </c>
      <c r="B206" s="45" t="s">
        <v>1474</v>
      </c>
      <c r="C206" s="5" t="s">
        <v>1152</v>
      </c>
      <c r="D206" s="43" t="n">
        <v>63420</v>
      </c>
      <c r="E206" s="43"/>
      <c r="F206" s="44" t="n">
        <f aca="false">N(E206)-N(D206)</f>
        <v>-63420</v>
      </c>
      <c r="G206" s="29" t="n">
        <f aca="false">Setup!$B$8+SUM($F$6:F206)</f>
        <v>4976700</v>
      </c>
      <c r="H206" s="45" t="s">
        <v>1269</v>
      </c>
      <c r="I206" s="27" t="str">
        <f aca="false">IF(COUNTIF(Cash_Book!$G$6:$G$304,C206)=0,"Not in books","In books")</f>
        <v>In books</v>
      </c>
    </row>
    <row r="207" customFormat="false" ht="15" hidden="false" customHeight="false" outlineLevel="0" collapsed="false">
      <c r="A207" s="41" t="n">
        <v>46244</v>
      </c>
      <c r="B207" s="45" t="s">
        <v>1475</v>
      </c>
      <c r="C207" s="5" t="s">
        <v>723</v>
      </c>
      <c r="D207" s="43"/>
      <c r="E207" s="43" t="n">
        <v>417652</v>
      </c>
      <c r="F207" s="44" t="n">
        <f aca="false">N(E207)-N(D207)</f>
        <v>417652</v>
      </c>
      <c r="G207" s="29" t="n">
        <f aca="false">Setup!$B$8+SUM($F$6:F207)</f>
        <v>5394352</v>
      </c>
      <c r="H207" s="45" t="s">
        <v>1273</v>
      </c>
      <c r="I207" s="27" t="str">
        <f aca="false">IF(COUNTIF(Cash_Book!$G$6:$G$304,C207)=0,"Not in books","In books")</f>
        <v>In books</v>
      </c>
    </row>
    <row r="208" customFormat="false" ht="15" hidden="false" customHeight="false" outlineLevel="0" collapsed="false">
      <c r="A208" s="41" t="n">
        <v>46244</v>
      </c>
      <c r="B208" s="45" t="s">
        <v>1476</v>
      </c>
      <c r="C208" s="5" t="s">
        <v>725</v>
      </c>
      <c r="D208" s="43"/>
      <c r="E208" s="43" t="n">
        <v>103887</v>
      </c>
      <c r="F208" s="44" t="n">
        <f aca="false">N(E208)-N(D208)</f>
        <v>103887</v>
      </c>
      <c r="G208" s="29" t="n">
        <f aca="false">Setup!$B$8+SUM($F$6:F208)</f>
        <v>5498239</v>
      </c>
      <c r="H208" s="45" t="s">
        <v>1273</v>
      </c>
      <c r="I208" s="27" t="str">
        <f aca="false">IF(COUNTIF(Cash_Book!$G$6:$G$304,C208)=0,"Not in books","In books")</f>
        <v>In books</v>
      </c>
    </row>
    <row r="209" customFormat="false" ht="15" hidden="false" customHeight="false" outlineLevel="0" collapsed="false">
      <c r="A209" s="41" t="n">
        <v>46244</v>
      </c>
      <c r="B209" s="45" t="s">
        <v>1477</v>
      </c>
      <c r="C209" s="5" t="s">
        <v>727</v>
      </c>
      <c r="D209" s="43"/>
      <c r="E209" s="43" t="n">
        <v>390829</v>
      </c>
      <c r="F209" s="44" t="n">
        <f aca="false">N(E209)-N(D209)</f>
        <v>390829</v>
      </c>
      <c r="G209" s="29" t="n">
        <f aca="false">Setup!$B$8+SUM($F$6:F209)</f>
        <v>5889068</v>
      </c>
      <c r="H209" s="45" t="s">
        <v>1273</v>
      </c>
      <c r="I209" s="27" t="str">
        <f aca="false">IF(COUNTIF(Cash_Book!$G$6:$G$304,C209)=0,"Not in books","In books")</f>
        <v>In books</v>
      </c>
    </row>
    <row r="210" customFormat="false" ht="15" hidden="false" customHeight="false" outlineLevel="0" collapsed="false">
      <c r="A210" s="41" t="n">
        <v>46245</v>
      </c>
      <c r="B210" s="45" t="s">
        <v>1478</v>
      </c>
      <c r="C210" s="5" t="s">
        <v>729</v>
      </c>
      <c r="D210" s="43"/>
      <c r="E210" s="43" t="n">
        <v>340421</v>
      </c>
      <c r="F210" s="44" t="n">
        <f aca="false">N(E210)-N(D210)</f>
        <v>340421</v>
      </c>
      <c r="G210" s="29" t="n">
        <f aca="false">Setup!$B$8+SUM($F$6:F210)</f>
        <v>6229489</v>
      </c>
      <c r="H210" s="45" t="s">
        <v>1273</v>
      </c>
      <c r="I210" s="27" t="str">
        <f aca="false">IF(COUNTIF(Cash_Book!$G$6:$G$304,C210)=0,"Not in books","In books")</f>
        <v>In books</v>
      </c>
    </row>
    <row r="211" customFormat="false" ht="15" hidden="false" customHeight="false" outlineLevel="0" collapsed="false">
      <c r="A211" s="41" t="n">
        <v>46245</v>
      </c>
      <c r="B211" s="45" t="s">
        <v>1479</v>
      </c>
      <c r="C211" s="5" t="s">
        <v>1158</v>
      </c>
      <c r="D211" s="43" t="n">
        <v>4820000</v>
      </c>
      <c r="E211" s="43"/>
      <c r="F211" s="44" t="n">
        <f aca="false">N(E211)-N(D211)</f>
        <v>-4820000</v>
      </c>
      <c r="G211" s="29" t="n">
        <f aca="false">Setup!$B$8+SUM($F$6:F211)</f>
        <v>1409489</v>
      </c>
      <c r="H211" s="45" t="s">
        <v>1275</v>
      </c>
      <c r="I211" s="27" t="str">
        <f aca="false">IF(COUNTIF(Cash_Book!$G$6:$G$304,C211)=0,"Not in books","In books")</f>
        <v>In books</v>
      </c>
    </row>
    <row r="212" customFormat="false" ht="15" hidden="false" customHeight="false" outlineLevel="0" collapsed="false">
      <c r="A212" s="41" t="n">
        <v>46246</v>
      </c>
      <c r="B212" s="45" t="s">
        <v>1480</v>
      </c>
      <c r="C212" s="5" t="s">
        <v>731</v>
      </c>
      <c r="D212" s="43"/>
      <c r="E212" s="43" t="n">
        <v>197046</v>
      </c>
      <c r="F212" s="44" t="n">
        <f aca="false">N(E212)-N(D212)</f>
        <v>197046</v>
      </c>
      <c r="G212" s="29" t="n">
        <f aca="false">Setup!$B$8+SUM($F$6:F212)</f>
        <v>1606535</v>
      </c>
      <c r="H212" s="45" t="s">
        <v>1273</v>
      </c>
      <c r="I212" s="27" t="str">
        <f aca="false">IF(COUNTIF(Cash_Book!$G$6:$G$304,C212)=0,"Not in books","In books")</f>
        <v>In books</v>
      </c>
    </row>
    <row r="213" customFormat="false" ht="15" hidden="false" customHeight="false" outlineLevel="0" collapsed="false">
      <c r="A213" s="41" t="n">
        <v>46246</v>
      </c>
      <c r="B213" s="45" t="s">
        <v>1481</v>
      </c>
      <c r="C213" s="5" t="s">
        <v>733</v>
      </c>
      <c r="D213" s="43"/>
      <c r="E213" s="43" t="n">
        <v>207871</v>
      </c>
      <c r="F213" s="44" t="n">
        <f aca="false">N(E213)-N(D213)</f>
        <v>207871</v>
      </c>
      <c r="G213" s="29" t="n">
        <f aca="false">Setup!$B$8+SUM($F$6:F213)</f>
        <v>1814406</v>
      </c>
      <c r="H213" s="45" t="s">
        <v>1273</v>
      </c>
      <c r="I213" s="27" t="str">
        <f aca="false">IF(COUNTIF(Cash_Book!$G$6:$G$304,C213)=0,"Not in books","In books")</f>
        <v>In books</v>
      </c>
    </row>
    <row r="214" customFormat="false" ht="15" hidden="false" customHeight="false" outlineLevel="0" collapsed="false">
      <c r="A214" s="41" t="n">
        <v>46248</v>
      </c>
      <c r="B214" s="45" t="s">
        <v>1482</v>
      </c>
      <c r="C214" s="5" t="s">
        <v>735</v>
      </c>
      <c r="D214" s="43"/>
      <c r="E214" s="43" t="n">
        <v>156283</v>
      </c>
      <c r="F214" s="44" t="n">
        <f aca="false">N(E214)-N(D214)</f>
        <v>156283</v>
      </c>
      <c r="G214" s="29" t="n">
        <f aca="false">Setup!$B$8+SUM($F$6:F214)</f>
        <v>1970689</v>
      </c>
      <c r="H214" s="45" t="s">
        <v>1273</v>
      </c>
      <c r="I214" s="27" t="str">
        <f aca="false">IF(COUNTIF(Cash_Book!$G$6:$G$304,C214)=0,"Not in books","In books")</f>
        <v>In books</v>
      </c>
    </row>
    <row r="215" customFormat="false" ht="15" hidden="false" customHeight="false" outlineLevel="0" collapsed="false">
      <c r="A215" s="41" t="n">
        <v>46249</v>
      </c>
      <c r="B215" s="45" t="s">
        <v>1483</v>
      </c>
      <c r="C215" s="5" t="s">
        <v>1154</v>
      </c>
      <c r="D215" s="43" t="n">
        <v>113879</v>
      </c>
      <c r="E215" s="43"/>
      <c r="F215" s="44" t="n">
        <f aca="false">N(E215)-N(D215)</f>
        <v>-113879</v>
      </c>
      <c r="G215" s="29" t="n">
        <f aca="false">Setup!$B$8+SUM($F$6:F215)</f>
        <v>1856810</v>
      </c>
      <c r="H215" s="45" t="s">
        <v>1269</v>
      </c>
      <c r="I215" s="27" t="str">
        <f aca="false">IF(COUNTIF(Cash_Book!$G$6:$G$304,C215)=0,"Not in books","In books")</f>
        <v>In books</v>
      </c>
    </row>
    <row r="216" customFormat="false" ht="15" hidden="false" customHeight="false" outlineLevel="0" collapsed="false">
      <c r="A216" s="41" t="n">
        <v>46250</v>
      </c>
      <c r="B216" s="45" t="s">
        <v>1484</v>
      </c>
      <c r="C216" s="5" t="s">
        <v>739</v>
      </c>
      <c r="D216" s="43"/>
      <c r="E216" s="43" t="n">
        <v>313048</v>
      </c>
      <c r="F216" s="44" t="n">
        <f aca="false">N(E216)-N(D216)</f>
        <v>313048</v>
      </c>
      <c r="G216" s="29" t="n">
        <f aca="false">Setup!$B$8+SUM($F$6:F216)</f>
        <v>2169858</v>
      </c>
      <c r="H216" s="45" t="s">
        <v>1273</v>
      </c>
      <c r="I216" s="27" t="str">
        <f aca="false">IF(COUNTIF(Cash_Book!$G$6:$G$304,C216)=0,"Not in books","In books")</f>
        <v>In books</v>
      </c>
    </row>
    <row r="217" customFormat="false" ht="15" hidden="false" customHeight="false" outlineLevel="0" collapsed="false">
      <c r="A217" s="41" t="n">
        <v>46250</v>
      </c>
      <c r="B217" s="45" t="s">
        <v>1485</v>
      </c>
      <c r="C217" s="5" t="s">
        <v>741</v>
      </c>
      <c r="D217" s="43"/>
      <c r="E217" s="43" t="n">
        <v>57935</v>
      </c>
      <c r="F217" s="44" t="n">
        <f aca="false">N(E217)-N(D217)</f>
        <v>57935</v>
      </c>
      <c r="G217" s="29" t="n">
        <f aca="false">Setup!$B$8+SUM($F$6:F217)</f>
        <v>2227793</v>
      </c>
      <c r="H217" s="45" t="s">
        <v>1273</v>
      </c>
      <c r="I217" s="27" t="str">
        <f aca="false">IF(COUNTIF(Cash_Book!$G$6:$G$304,C217)=0,"Not in books","In books")</f>
        <v>In books</v>
      </c>
    </row>
    <row r="218" customFormat="false" ht="15" hidden="false" customHeight="false" outlineLevel="0" collapsed="false">
      <c r="A218" s="41" t="n">
        <v>46250</v>
      </c>
      <c r="B218" s="45" t="s">
        <v>1486</v>
      </c>
      <c r="C218" s="5" t="s">
        <v>743</v>
      </c>
      <c r="D218" s="43"/>
      <c r="E218" s="43" t="n">
        <v>261571</v>
      </c>
      <c r="F218" s="44" t="n">
        <f aca="false">N(E218)-N(D218)</f>
        <v>261571</v>
      </c>
      <c r="G218" s="29" t="n">
        <f aca="false">Setup!$B$8+SUM($F$6:F218)</f>
        <v>2489364</v>
      </c>
      <c r="H218" s="45" t="s">
        <v>1273</v>
      </c>
      <c r="I218" s="27" t="str">
        <f aca="false">IF(COUNTIF(Cash_Book!$G$6:$G$304,C218)=0,"Not in books","In books")</f>
        <v>In books</v>
      </c>
    </row>
    <row r="219" customFormat="false" ht="15" hidden="false" customHeight="false" outlineLevel="0" collapsed="false">
      <c r="A219" s="41" t="n">
        <v>46250</v>
      </c>
      <c r="B219" s="45" t="s">
        <v>1487</v>
      </c>
      <c r="C219" s="5" t="s">
        <v>745</v>
      </c>
      <c r="D219" s="43"/>
      <c r="E219" s="43" t="n">
        <v>267121</v>
      </c>
      <c r="F219" s="44" t="n">
        <f aca="false">N(E219)-N(D219)</f>
        <v>267121</v>
      </c>
      <c r="G219" s="29" t="n">
        <f aca="false">Setup!$B$8+SUM($F$6:F219)</f>
        <v>2756485</v>
      </c>
      <c r="H219" s="45" t="s">
        <v>1273</v>
      </c>
      <c r="I219" s="27" t="str">
        <f aca="false">IF(COUNTIF(Cash_Book!$G$6:$G$304,C219)=0,"Not in books","In books")</f>
        <v>In books</v>
      </c>
    </row>
    <row r="220" customFormat="false" ht="15" hidden="false" customHeight="false" outlineLevel="0" collapsed="false">
      <c r="A220" s="41" t="n">
        <v>46252</v>
      </c>
      <c r="B220" s="45" t="s">
        <v>1488</v>
      </c>
      <c r="C220" s="5" t="s">
        <v>1147</v>
      </c>
      <c r="D220" s="43" t="n">
        <v>125953</v>
      </c>
      <c r="E220" s="43"/>
      <c r="F220" s="44" t="n">
        <f aca="false">N(E220)-N(D220)</f>
        <v>-125953</v>
      </c>
      <c r="G220" s="29" t="n">
        <f aca="false">Setup!$B$8+SUM($F$6:F220)</f>
        <v>2630532</v>
      </c>
      <c r="H220" s="45" t="s">
        <v>1269</v>
      </c>
      <c r="I220" s="27" t="str">
        <f aca="false">IF(COUNTIF(Cash_Book!$G$6:$G$304,C220)=0,"Not in books","In books")</f>
        <v>In books</v>
      </c>
    </row>
    <row r="221" customFormat="false" ht="15" hidden="false" customHeight="false" outlineLevel="0" collapsed="false">
      <c r="A221" s="41" t="n">
        <v>46252</v>
      </c>
      <c r="B221" s="45" t="s">
        <v>1489</v>
      </c>
      <c r="C221" s="5" t="s">
        <v>737</v>
      </c>
      <c r="D221" s="43"/>
      <c r="E221" s="43" t="n">
        <v>212053</v>
      </c>
      <c r="F221" s="44" t="n">
        <f aca="false">N(E221)-N(D221)</f>
        <v>212053</v>
      </c>
      <c r="G221" s="29" t="n">
        <f aca="false">Setup!$B$8+SUM($F$6:F221)</f>
        <v>2842585</v>
      </c>
      <c r="H221" s="45" t="s">
        <v>1273</v>
      </c>
      <c r="I221" s="27" t="str">
        <f aca="false">IF(COUNTIF(Cash_Book!$G$6:$G$304,C221)=0,"Not in books","In books")</f>
        <v>In books</v>
      </c>
    </row>
    <row r="222" customFormat="false" ht="15" hidden="false" customHeight="false" outlineLevel="0" collapsed="false">
      <c r="A222" s="41" t="n">
        <v>46252</v>
      </c>
      <c r="B222" s="45" t="s">
        <v>1490</v>
      </c>
      <c r="C222" s="5" t="s">
        <v>747</v>
      </c>
      <c r="D222" s="43"/>
      <c r="E222" s="43" t="n">
        <v>151164</v>
      </c>
      <c r="F222" s="44" t="n">
        <f aca="false">N(E222)-N(D222)</f>
        <v>151164</v>
      </c>
      <c r="G222" s="29" t="n">
        <f aca="false">Setup!$B$8+SUM($F$6:F222)</f>
        <v>2993749</v>
      </c>
      <c r="H222" s="45" t="s">
        <v>1273</v>
      </c>
      <c r="I222" s="27" t="str">
        <f aca="false">IF(COUNTIF(Cash_Book!$G$6:$G$304,C222)=0,"Not in books","In books")</f>
        <v>In books</v>
      </c>
    </row>
    <row r="223" customFormat="false" ht="15" hidden="false" customHeight="false" outlineLevel="0" collapsed="false">
      <c r="A223" s="41" t="n">
        <v>46252</v>
      </c>
      <c r="B223" s="45" t="s">
        <v>1491</v>
      </c>
      <c r="C223" s="5" t="s">
        <v>1168</v>
      </c>
      <c r="D223" s="43" t="n">
        <v>168077</v>
      </c>
      <c r="E223" s="43"/>
      <c r="F223" s="44" t="n">
        <f aca="false">N(E223)-N(D223)</f>
        <v>-168077</v>
      </c>
      <c r="G223" s="29" t="n">
        <f aca="false">Setup!$B$8+SUM($F$6:F223)</f>
        <v>2825672</v>
      </c>
      <c r="H223" s="45" t="s">
        <v>1269</v>
      </c>
      <c r="I223" s="27" t="str">
        <f aca="false">IF(COUNTIF(Cash_Book!$G$6:$G$304,C223)=0,"Not in books","In books")</f>
        <v>In books</v>
      </c>
    </row>
    <row r="224" customFormat="false" ht="15" hidden="false" customHeight="false" outlineLevel="0" collapsed="false">
      <c r="A224" s="41" t="n">
        <v>46253</v>
      </c>
      <c r="B224" s="45" t="s">
        <v>1492</v>
      </c>
      <c r="C224" s="5" t="s">
        <v>749</v>
      </c>
      <c r="D224" s="43"/>
      <c r="E224" s="43" t="n">
        <v>262456</v>
      </c>
      <c r="F224" s="44" t="n">
        <f aca="false">N(E224)-N(D224)</f>
        <v>262456</v>
      </c>
      <c r="G224" s="29" t="n">
        <f aca="false">Setup!$B$8+SUM($F$6:F224)</f>
        <v>3088128</v>
      </c>
      <c r="H224" s="45" t="s">
        <v>1273</v>
      </c>
      <c r="I224" s="27" t="str">
        <f aca="false">IF(COUNTIF(Cash_Book!$G$6:$G$304,C224)=0,"Not in books","In books")</f>
        <v>In books</v>
      </c>
    </row>
    <row r="225" customFormat="false" ht="15" hidden="false" customHeight="false" outlineLevel="0" collapsed="false">
      <c r="A225" s="41" t="n">
        <v>46254</v>
      </c>
      <c r="B225" s="45" t="s">
        <v>1493</v>
      </c>
      <c r="C225" s="5" t="s">
        <v>751</v>
      </c>
      <c r="D225" s="43"/>
      <c r="E225" s="43" t="n">
        <v>257217</v>
      </c>
      <c r="F225" s="44" t="n">
        <f aca="false">N(E225)-N(D225)</f>
        <v>257217</v>
      </c>
      <c r="G225" s="29" t="n">
        <f aca="false">Setup!$B$8+SUM($F$6:F225)</f>
        <v>3345345</v>
      </c>
      <c r="H225" s="45" t="s">
        <v>1273</v>
      </c>
      <c r="I225" s="27" t="str">
        <f aca="false">IF(COUNTIF(Cash_Book!$G$6:$G$304,C225)=0,"Not in books","In books")</f>
        <v>In books</v>
      </c>
    </row>
    <row r="226" customFormat="false" ht="15" hidden="false" customHeight="false" outlineLevel="0" collapsed="false">
      <c r="A226" s="41" t="n">
        <v>46255</v>
      </c>
      <c r="B226" s="45" t="s">
        <v>1494</v>
      </c>
      <c r="C226" s="5" t="s">
        <v>753</v>
      </c>
      <c r="D226" s="43"/>
      <c r="E226" s="43" t="n">
        <v>223793</v>
      </c>
      <c r="F226" s="44" t="n">
        <f aca="false">N(E226)-N(D226)</f>
        <v>223793</v>
      </c>
      <c r="G226" s="29" t="n">
        <f aca="false">Setup!$B$8+SUM($F$6:F226)</f>
        <v>3569138</v>
      </c>
      <c r="H226" s="45" t="s">
        <v>1273</v>
      </c>
      <c r="I226" s="27" t="str">
        <f aca="false">IF(COUNTIF(Cash_Book!$G$6:$G$304,C226)=0,"Not in books","In books")</f>
        <v>In books</v>
      </c>
    </row>
    <row r="227" customFormat="false" ht="15" hidden="false" customHeight="false" outlineLevel="0" collapsed="false">
      <c r="A227" s="41" t="n">
        <v>46255</v>
      </c>
      <c r="B227" s="45" t="s">
        <v>1495</v>
      </c>
      <c r="C227" s="5" t="s">
        <v>1173</v>
      </c>
      <c r="D227" s="43" t="n">
        <v>200000</v>
      </c>
      <c r="E227" s="43"/>
      <c r="F227" s="44" t="n">
        <f aca="false">N(E227)-N(D227)</f>
        <v>-200000</v>
      </c>
      <c r="G227" s="29" t="n">
        <f aca="false">Setup!$B$8+SUM($F$6:F227)</f>
        <v>3369138</v>
      </c>
      <c r="H227" s="45" t="s">
        <v>1287</v>
      </c>
      <c r="I227" s="27" t="str">
        <f aca="false">IF(COUNTIF(Cash_Book!$G$6:$G$304,C227)=0,"Not in books","In books")</f>
        <v>In books</v>
      </c>
    </row>
    <row r="228" customFormat="false" ht="15" hidden="false" customHeight="false" outlineLevel="0" collapsed="false">
      <c r="A228" s="41" t="n">
        <v>46255</v>
      </c>
      <c r="B228" s="45" t="s">
        <v>1496</v>
      </c>
      <c r="C228" s="5" t="s">
        <v>755</v>
      </c>
      <c r="D228" s="43"/>
      <c r="E228" s="43" t="n">
        <v>127117</v>
      </c>
      <c r="F228" s="44" t="n">
        <f aca="false">N(E228)-N(D228)</f>
        <v>127117</v>
      </c>
      <c r="G228" s="29" t="n">
        <f aca="false">Setup!$B$8+SUM($F$6:F228)</f>
        <v>3496255</v>
      </c>
      <c r="H228" s="45" t="s">
        <v>1273</v>
      </c>
      <c r="I228" s="27" t="str">
        <f aca="false">IF(COUNTIF(Cash_Book!$G$6:$G$304,C228)=0,"Not in books","In books")</f>
        <v>In books</v>
      </c>
    </row>
    <row r="229" customFormat="false" ht="15" hidden="false" customHeight="false" outlineLevel="0" collapsed="false">
      <c r="A229" s="41" t="n">
        <v>46255</v>
      </c>
      <c r="B229" s="45" t="s">
        <v>1497</v>
      </c>
      <c r="C229" s="5" t="s">
        <v>757</v>
      </c>
      <c r="D229" s="43"/>
      <c r="E229" s="43" t="n">
        <v>216267</v>
      </c>
      <c r="F229" s="44" t="n">
        <f aca="false">N(E229)-N(D229)</f>
        <v>216267</v>
      </c>
      <c r="G229" s="29" t="n">
        <f aca="false">Setup!$B$8+SUM($F$6:F229)</f>
        <v>3712522</v>
      </c>
      <c r="H229" s="45" t="s">
        <v>1273</v>
      </c>
      <c r="I229" s="27" t="str">
        <f aca="false">IF(COUNTIF(Cash_Book!$G$6:$G$304,C229)=0,"Not in books","In books")</f>
        <v>In books</v>
      </c>
    </row>
    <row r="230" customFormat="false" ht="15" hidden="false" customHeight="false" outlineLevel="0" collapsed="false">
      <c r="A230" s="41" t="n">
        <v>46256</v>
      </c>
      <c r="B230" s="45" t="s">
        <v>1498</v>
      </c>
      <c r="C230" s="5" t="s">
        <v>761</v>
      </c>
      <c r="D230" s="43"/>
      <c r="E230" s="43" t="n">
        <v>141379</v>
      </c>
      <c r="F230" s="44" t="n">
        <f aca="false">N(E230)-N(D230)</f>
        <v>141379</v>
      </c>
      <c r="G230" s="29" t="n">
        <f aca="false">Setup!$B$8+SUM($F$6:F230)</f>
        <v>3853901</v>
      </c>
      <c r="H230" s="45" t="s">
        <v>1273</v>
      </c>
      <c r="I230" s="27" t="str">
        <f aca="false">IF(COUNTIF(Cash_Book!$G$6:$G$304,C230)=0,"Not in books","In books")</f>
        <v>In books</v>
      </c>
    </row>
    <row r="231" customFormat="false" ht="15" hidden="false" customHeight="false" outlineLevel="0" collapsed="false">
      <c r="A231" s="41" t="n">
        <v>46257</v>
      </c>
      <c r="B231" s="45" t="s">
        <v>1499</v>
      </c>
      <c r="C231" s="5" t="s">
        <v>759</v>
      </c>
      <c r="D231" s="43"/>
      <c r="E231" s="43" t="n">
        <v>145836</v>
      </c>
      <c r="F231" s="44" t="n">
        <f aca="false">N(E231)-N(D231)</f>
        <v>145836</v>
      </c>
      <c r="G231" s="29" t="n">
        <f aca="false">Setup!$B$8+SUM($F$6:F231)</f>
        <v>3999737</v>
      </c>
      <c r="H231" s="45" t="s">
        <v>1273</v>
      </c>
      <c r="I231" s="27" t="str">
        <f aca="false">IF(COUNTIF(Cash_Book!$G$6:$G$304,C231)=0,"Not in books","In books")</f>
        <v>In books</v>
      </c>
    </row>
    <row r="232" customFormat="false" ht="15" hidden="false" customHeight="false" outlineLevel="0" collapsed="false">
      <c r="A232" s="41" t="n">
        <v>46258</v>
      </c>
      <c r="B232" s="45" t="s">
        <v>1500</v>
      </c>
      <c r="C232" s="5" t="s">
        <v>765</v>
      </c>
      <c r="D232" s="43"/>
      <c r="E232" s="43" t="n">
        <v>419961</v>
      </c>
      <c r="F232" s="44" t="n">
        <f aca="false">N(E232)-N(D232)</f>
        <v>419961</v>
      </c>
      <c r="G232" s="29" t="n">
        <f aca="false">Setup!$B$8+SUM($F$6:F232)</f>
        <v>4419698</v>
      </c>
      <c r="H232" s="45" t="s">
        <v>1273</v>
      </c>
      <c r="I232" s="27" t="str">
        <f aca="false">IF(COUNTIF(Cash_Book!$G$6:$G$304,C232)=0,"Not in books","In books")</f>
        <v>In books</v>
      </c>
    </row>
    <row r="233" customFormat="false" ht="15" hidden="false" customHeight="false" outlineLevel="0" collapsed="false">
      <c r="A233" s="41" t="n">
        <v>46258</v>
      </c>
      <c r="B233" s="45" t="s">
        <v>1501</v>
      </c>
      <c r="C233" s="5" t="s">
        <v>1179</v>
      </c>
      <c r="D233" s="43" t="n">
        <v>3249000</v>
      </c>
      <c r="E233" s="43"/>
      <c r="F233" s="44" t="n">
        <f aca="false">N(E233)-N(D233)</f>
        <v>-3249000</v>
      </c>
      <c r="G233" s="29" t="n">
        <f aca="false">Setup!$B$8+SUM($F$6:F233)</f>
        <v>1170698</v>
      </c>
      <c r="H233" s="45" t="s">
        <v>1275</v>
      </c>
      <c r="I233" s="27" t="str">
        <f aca="false">IF(COUNTIF(Cash_Book!$G$6:$G$304,C233)=0,"Not in books","In books")</f>
        <v>In books</v>
      </c>
    </row>
    <row r="234" customFormat="false" ht="15" hidden="false" customHeight="false" outlineLevel="0" collapsed="false">
      <c r="A234" s="41" t="n">
        <v>46259</v>
      </c>
      <c r="B234" s="45" t="s">
        <v>1502</v>
      </c>
      <c r="C234" s="5" t="s">
        <v>763</v>
      </c>
      <c r="D234" s="43"/>
      <c r="E234" s="43" t="n">
        <v>160071</v>
      </c>
      <c r="F234" s="44" t="n">
        <f aca="false">N(E234)-N(D234)</f>
        <v>160071</v>
      </c>
      <c r="G234" s="29" t="n">
        <f aca="false">Setup!$B$8+SUM($F$6:F234)</f>
        <v>1330769</v>
      </c>
      <c r="H234" s="45" t="s">
        <v>1273</v>
      </c>
      <c r="I234" s="27" t="str">
        <f aca="false">IF(COUNTIF(Cash_Book!$G$6:$G$304,C234)=0,"Not in books","In books")</f>
        <v>In books</v>
      </c>
    </row>
    <row r="235" customFormat="false" ht="15" hidden="false" customHeight="false" outlineLevel="0" collapsed="false">
      <c r="A235" s="41" t="n">
        <v>46260</v>
      </c>
      <c r="B235" s="45" t="s">
        <v>1503</v>
      </c>
      <c r="C235" s="5" t="s">
        <v>767</v>
      </c>
      <c r="D235" s="43"/>
      <c r="E235" s="43" t="n">
        <v>513625</v>
      </c>
      <c r="F235" s="44" t="n">
        <f aca="false">N(E235)-N(D235)</f>
        <v>513625</v>
      </c>
      <c r="G235" s="29" t="n">
        <f aca="false">Setup!$B$8+SUM($F$6:F235)</f>
        <v>1844394</v>
      </c>
      <c r="H235" s="45" t="s">
        <v>1273</v>
      </c>
      <c r="I235" s="27" t="str">
        <f aca="false">IF(COUNTIF(Cash_Book!$G$6:$G$304,C235)=0,"Not in books","In books")</f>
        <v>In books</v>
      </c>
    </row>
    <row r="236" customFormat="false" ht="15" hidden="false" customHeight="false" outlineLevel="0" collapsed="false">
      <c r="A236" s="41" t="n">
        <v>46261</v>
      </c>
      <c r="B236" s="45" t="s">
        <v>1504</v>
      </c>
      <c r="C236" s="5" t="s">
        <v>771</v>
      </c>
      <c r="D236" s="43"/>
      <c r="E236" s="43" t="n">
        <v>45312</v>
      </c>
      <c r="F236" s="44" t="n">
        <f aca="false">N(E236)-N(D236)</f>
        <v>45312</v>
      </c>
      <c r="G236" s="29" t="n">
        <f aca="false">Setup!$B$8+SUM($F$6:F236)</f>
        <v>1889706</v>
      </c>
      <c r="H236" s="45" t="s">
        <v>1273</v>
      </c>
      <c r="I236" s="27" t="str">
        <f aca="false">IF(COUNTIF(Cash_Book!$G$6:$G$304,C236)=0,"Not in books","In books")</f>
        <v>In books</v>
      </c>
    </row>
    <row r="237" customFormat="false" ht="15" hidden="false" customHeight="false" outlineLevel="0" collapsed="false">
      <c r="A237" s="41" t="n">
        <v>46262</v>
      </c>
      <c r="B237" s="45" t="s">
        <v>1505</v>
      </c>
      <c r="C237" s="5" t="s">
        <v>769</v>
      </c>
      <c r="D237" s="43"/>
      <c r="E237" s="43" t="n">
        <v>264413</v>
      </c>
      <c r="F237" s="44" t="n">
        <f aca="false">N(E237)-N(D237)</f>
        <v>264413</v>
      </c>
      <c r="G237" s="29" t="n">
        <f aca="false">Setup!$B$8+SUM($F$6:F237)</f>
        <v>2154119</v>
      </c>
      <c r="H237" s="45" t="s">
        <v>1273</v>
      </c>
      <c r="I237" s="27" t="str">
        <f aca="false">IF(COUNTIF(Cash_Book!$G$6:$G$304,C237)=0,"Not in books","In books")</f>
        <v>In books</v>
      </c>
    </row>
    <row r="238" customFormat="false" ht="15" hidden="false" customHeight="false" outlineLevel="0" collapsed="false">
      <c r="A238" s="41" t="n">
        <v>46262</v>
      </c>
      <c r="B238" s="45" t="s">
        <v>1506</v>
      </c>
      <c r="C238" s="5" t="s">
        <v>773</v>
      </c>
      <c r="D238" s="43"/>
      <c r="E238" s="43" t="n">
        <v>239093</v>
      </c>
      <c r="F238" s="44" t="n">
        <f aca="false">N(E238)-N(D238)</f>
        <v>239093</v>
      </c>
      <c r="G238" s="29" t="n">
        <f aca="false">Setup!$B$8+SUM($F$6:F238)</f>
        <v>2393212</v>
      </c>
      <c r="H238" s="45" t="s">
        <v>1273</v>
      </c>
      <c r="I238" s="27" t="str">
        <f aca="false">IF(COUNTIF(Cash_Book!$G$6:$G$304,C238)=0,"Not in books","In books")</f>
        <v>In books</v>
      </c>
    </row>
    <row r="239" customFormat="false" ht="15" hidden="false" customHeight="false" outlineLevel="0" collapsed="false">
      <c r="A239" s="41" t="n">
        <v>46262</v>
      </c>
      <c r="B239" s="45" t="s">
        <v>1507</v>
      </c>
      <c r="C239" s="5" t="s">
        <v>775</v>
      </c>
      <c r="D239" s="43"/>
      <c r="E239" s="43" t="n">
        <v>525949</v>
      </c>
      <c r="F239" s="44" t="n">
        <f aca="false">N(E239)-N(D239)</f>
        <v>525949</v>
      </c>
      <c r="G239" s="29" t="n">
        <f aca="false">Setup!$B$8+SUM($F$6:F239)</f>
        <v>2919161</v>
      </c>
      <c r="H239" s="45" t="s">
        <v>1273</v>
      </c>
      <c r="I239" s="27" t="str">
        <f aca="false">IF(COUNTIF(Cash_Book!$G$6:$G$304,C239)=0,"Not in books","In books")</f>
        <v>In books</v>
      </c>
    </row>
    <row r="240" customFormat="false" ht="15" hidden="false" customHeight="false" outlineLevel="0" collapsed="false">
      <c r="A240" s="41" t="n">
        <v>46262</v>
      </c>
      <c r="B240" s="45" t="s">
        <v>1508</v>
      </c>
      <c r="C240" s="5" t="s">
        <v>777</v>
      </c>
      <c r="D240" s="43"/>
      <c r="E240" s="43" t="n">
        <v>275724</v>
      </c>
      <c r="F240" s="44" t="n">
        <f aca="false">N(E240)-N(D240)</f>
        <v>275724</v>
      </c>
      <c r="G240" s="29" t="n">
        <f aca="false">Setup!$B$8+SUM($F$6:F240)</f>
        <v>3194885</v>
      </c>
      <c r="H240" s="45" t="s">
        <v>1273</v>
      </c>
      <c r="I240" s="27" t="str">
        <f aca="false">IF(COUNTIF(Cash_Book!$G$6:$G$304,C240)=0,"Not in books","In books")</f>
        <v>In books</v>
      </c>
    </row>
    <row r="241" customFormat="false" ht="15" hidden="false" customHeight="false" outlineLevel="0" collapsed="false">
      <c r="A241" s="41" t="n">
        <v>46264</v>
      </c>
      <c r="B241" s="45" t="s">
        <v>1509</v>
      </c>
      <c r="C241" s="5" t="s">
        <v>779</v>
      </c>
      <c r="D241" s="43"/>
      <c r="E241" s="43" t="n">
        <v>487180</v>
      </c>
      <c r="F241" s="44" t="n">
        <f aca="false">N(E241)-N(D241)</f>
        <v>487180</v>
      </c>
      <c r="G241" s="29" t="n">
        <f aca="false">Setup!$B$8+SUM($F$6:F241)</f>
        <v>3682065</v>
      </c>
      <c r="H241" s="45" t="s">
        <v>1273</v>
      </c>
      <c r="I241" s="27" t="str">
        <f aca="false">IF(COUNTIF(Cash_Book!$G$6:$G$304,C241)=0,"Not in books","In books")</f>
        <v>In books</v>
      </c>
    </row>
    <row r="242" customFormat="false" ht="15" hidden="false" customHeight="false" outlineLevel="0" collapsed="false">
      <c r="A242" s="41" t="n">
        <v>46264</v>
      </c>
      <c r="B242" s="45" t="s">
        <v>1510</v>
      </c>
      <c r="C242" s="5" t="s">
        <v>781</v>
      </c>
      <c r="D242" s="43"/>
      <c r="E242" s="43" t="n">
        <v>77375</v>
      </c>
      <c r="F242" s="44" t="n">
        <f aca="false">N(E242)-N(D242)</f>
        <v>77375</v>
      </c>
      <c r="G242" s="29" t="n">
        <f aca="false">Setup!$B$8+SUM($F$6:F242)</f>
        <v>3759440</v>
      </c>
      <c r="H242" s="45" t="s">
        <v>1273</v>
      </c>
      <c r="I242" s="27" t="str">
        <f aca="false">IF(COUNTIF(Cash_Book!$G$6:$G$304,C242)=0,"Not in books","In books")</f>
        <v>In books</v>
      </c>
    </row>
    <row r="243" customFormat="false" ht="15" hidden="false" customHeight="false" outlineLevel="0" collapsed="false">
      <c r="A243" s="41" t="n">
        <v>46265</v>
      </c>
      <c r="B243" s="45" t="s">
        <v>1511</v>
      </c>
      <c r="C243" s="5" t="s">
        <v>783</v>
      </c>
      <c r="D243" s="43"/>
      <c r="E243" s="43" t="n">
        <v>399984</v>
      </c>
      <c r="F243" s="44" t="n">
        <f aca="false">N(E243)-N(D243)</f>
        <v>399984</v>
      </c>
      <c r="G243" s="29" t="n">
        <f aca="false">Setup!$B$8+SUM($F$6:F243)</f>
        <v>4159424</v>
      </c>
      <c r="H243" s="45" t="s">
        <v>1273</v>
      </c>
      <c r="I243" s="27" t="str">
        <f aca="false">IF(COUNTIF(Cash_Book!$G$6:$G$304,C243)=0,"Not in books","In books")</f>
        <v>In books</v>
      </c>
    </row>
    <row r="244" customFormat="false" ht="15" hidden="false" customHeight="false" outlineLevel="0" collapsed="false">
      <c r="A244" s="41" t="n">
        <v>46265</v>
      </c>
      <c r="B244" s="45" t="s">
        <v>1512</v>
      </c>
      <c r="C244" s="5" t="s">
        <v>785</v>
      </c>
      <c r="D244" s="43"/>
      <c r="E244" s="43" t="n">
        <v>227449</v>
      </c>
      <c r="F244" s="44" t="n">
        <f aca="false">N(E244)-N(D244)</f>
        <v>227449</v>
      </c>
      <c r="G244" s="29" t="n">
        <f aca="false">Setup!$B$8+SUM($F$6:F244)</f>
        <v>4386873</v>
      </c>
      <c r="H244" s="45" t="s">
        <v>1273</v>
      </c>
      <c r="I244" s="27" t="str">
        <f aca="false">IF(COUNTIF(Cash_Book!$G$6:$G$304,C244)=0,"Not in books","In books")</f>
        <v>In books</v>
      </c>
    </row>
    <row r="245" customFormat="false" ht="15" hidden="false" customHeight="false" outlineLevel="0" collapsed="false">
      <c r="A245" s="41" t="n">
        <v>46265</v>
      </c>
      <c r="B245" s="45" t="s">
        <v>1513</v>
      </c>
      <c r="C245" s="5" t="s">
        <v>1195</v>
      </c>
      <c r="D245" s="43" t="n">
        <v>590</v>
      </c>
      <c r="E245" s="43"/>
      <c r="F245" s="44" t="n">
        <f aca="false">N(E245)-N(D245)</f>
        <v>-590</v>
      </c>
      <c r="G245" s="29" t="n">
        <f aca="false">Setup!$B$8+SUM($F$6:F245)</f>
        <v>4386283</v>
      </c>
      <c r="H245" s="45" t="s">
        <v>1308</v>
      </c>
      <c r="I245" s="27" t="str">
        <f aca="false">IF(COUNTIF(Cash_Book!$G$6:$G$304,C245)=0,"Not in books","In books")</f>
        <v>In books</v>
      </c>
    </row>
    <row r="246" customFormat="false" ht="15" hidden="false" customHeight="false" outlineLevel="0" collapsed="false">
      <c r="A246" s="41" t="n">
        <v>46266</v>
      </c>
      <c r="B246" s="45" t="s">
        <v>1514</v>
      </c>
      <c r="C246" s="5" t="s">
        <v>789</v>
      </c>
      <c r="D246" s="43"/>
      <c r="E246" s="43" t="n">
        <v>304754</v>
      </c>
      <c r="F246" s="44" t="n">
        <f aca="false">N(E246)-N(D246)</f>
        <v>304754</v>
      </c>
      <c r="G246" s="29" t="n">
        <f aca="false">Setup!$B$8+SUM($F$6:F246)</f>
        <v>4691037</v>
      </c>
      <c r="H246" s="45" t="s">
        <v>1273</v>
      </c>
      <c r="I246" s="27" t="str">
        <f aca="false">IF(COUNTIF(Cash_Book!$G$6:$G$304,C246)=0,"Not in books","In books")</f>
        <v>In books</v>
      </c>
    </row>
    <row r="247" customFormat="false" ht="15" hidden="false" customHeight="false" outlineLevel="0" collapsed="false">
      <c r="A247" s="41" t="n">
        <v>46267</v>
      </c>
      <c r="B247" s="45" t="s">
        <v>1515</v>
      </c>
      <c r="C247" s="5" t="s">
        <v>791</v>
      </c>
      <c r="D247" s="43"/>
      <c r="E247" s="43" t="n">
        <v>238357</v>
      </c>
      <c r="F247" s="44" t="n">
        <f aca="false">N(E247)-N(D247)</f>
        <v>238357</v>
      </c>
      <c r="G247" s="29" t="n">
        <f aca="false">Setup!$B$8+SUM($F$6:F247)</f>
        <v>4929394</v>
      </c>
      <c r="H247" s="45" t="s">
        <v>1273</v>
      </c>
      <c r="I247" s="27" t="str">
        <f aca="false">IF(COUNTIF(Cash_Book!$G$6:$G$304,C247)=0,"Not in books","In books")</f>
        <v>In books</v>
      </c>
    </row>
    <row r="248" customFormat="false" ht="15" hidden="false" customHeight="false" outlineLevel="0" collapsed="false">
      <c r="A248" s="41" t="n">
        <v>46267</v>
      </c>
      <c r="B248" s="45" t="s">
        <v>1516</v>
      </c>
      <c r="C248" s="5" t="s">
        <v>1200</v>
      </c>
      <c r="D248" s="43" t="n">
        <v>360000</v>
      </c>
      <c r="E248" s="43"/>
      <c r="F248" s="44" t="n">
        <f aca="false">N(E248)-N(D248)</f>
        <v>-360000</v>
      </c>
      <c r="G248" s="29" t="n">
        <f aca="false">Setup!$B$8+SUM($F$6:F248)</f>
        <v>4569394</v>
      </c>
      <c r="H248" s="45" t="s">
        <v>1267</v>
      </c>
      <c r="I248" s="27" t="str">
        <f aca="false">IF(COUNTIF(Cash_Book!$G$6:$G$304,C248)=0,"Not in books","In books")</f>
        <v>In books</v>
      </c>
    </row>
    <row r="249" customFormat="false" ht="15" hidden="false" customHeight="false" outlineLevel="0" collapsed="false">
      <c r="A249" s="41" t="n">
        <v>46268</v>
      </c>
      <c r="B249" s="45" t="s">
        <v>1517</v>
      </c>
      <c r="C249" s="5" t="s">
        <v>1187</v>
      </c>
      <c r="D249" s="43" t="n">
        <v>178651</v>
      </c>
      <c r="E249" s="43"/>
      <c r="F249" s="44" t="n">
        <f aca="false">N(E249)-N(D249)</f>
        <v>-178651</v>
      </c>
      <c r="G249" s="29" t="n">
        <f aca="false">Setup!$B$8+SUM($F$6:F249)</f>
        <v>4390743</v>
      </c>
      <c r="H249" s="45" t="s">
        <v>1269</v>
      </c>
      <c r="I249" s="27" t="str">
        <f aca="false">IF(COUNTIF(Cash_Book!$G$6:$G$304,C249)=0,"Not in books","In books")</f>
        <v>In books</v>
      </c>
    </row>
    <row r="250" customFormat="false" ht="15" hidden="false" customHeight="false" outlineLevel="0" collapsed="false">
      <c r="A250" s="41" t="n">
        <v>46268</v>
      </c>
      <c r="B250" s="45" t="s">
        <v>1518</v>
      </c>
      <c r="C250" s="5" t="s">
        <v>787</v>
      </c>
      <c r="D250" s="43"/>
      <c r="E250" s="43" t="n">
        <v>451887</v>
      </c>
      <c r="F250" s="44" t="n">
        <f aca="false">N(E250)-N(D250)</f>
        <v>451887</v>
      </c>
      <c r="G250" s="29" t="n">
        <f aca="false">Setup!$B$8+SUM($F$6:F250)</f>
        <v>4842630</v>
      </c>
      <c r="H250" s="45" t="s">
        <v>1273</v>
      </c>
      <c r="I250" s="27" t="str">
        <f aca="false">IF(COUNTIF(Cash_Book!$G$6:$G$304,C250)=0,"Not in books","In books")</f>
        <v>In books</v>
      </c>
    </row>
    <row r="251" customFormat="false" ht="15" hidden="false" customHeight="false" outlineLevel="0" collapsed="false">
      <c r="A251" s="41" t="n">
        <v>46268</v>
      </c>
      <c r="B251" s="45" t="s">
        <v>1519</v>
      </c>
      <c r="C251" s="5" t="s">
        <v>793</v>
      </c>
      <c r="D251" s="43"/>
      <c r="E251" s="43" t="n">
        <v>74807</v>
      </c>
      <c r="F251" s="44" t="n">
        <f aca="false">N(E251)-N(D251)</f>
        <v>74807</v>
      </c>
      <c r="G251" s="29" t="n">
        <f aca="false">Setup!$B$8+SUM($F$6:F251)</f>
        <v>4917437</v>
      </c>
      <c r="H251" s="45" t="s">
        <v>1273</v>
      </c>
      <c r="I251" s="27" t="str">
        <f aca="false">IF(COUNTIF(Cash_Book!$G$6:$G$304,C251)=0,"Not in books","In books")</f>
        <v>In books</v>
      </c>
    </row>
    <row r="252" customFormat="false" ht="15" hidden="false" customHeight="false" outlineLevel="0" collapsed="false">
      <c r="A252" s="41" t="n">
        <v>46270</v>
      </c>
      <c r="B252" s="45" t="s">
        <v>1520</v>
      </c>
      <c r="C252" s="5" t="s">
        <v>795</v>
      </c>
      <c r="D252" s="43"/>
      <c r="E252" s="43" t="n">
        <v>208633</v>
      </c>
      <c r="F252" s="44" t="n">
        <f aca="false">N(E252)-N(D252)</f>
        <v>208633</v>
      </c>
      <c r="G252" s="29" t="n">
        <f aca="false">Setup!$B$8+SUM($F$6:F252)</f>
        <v>5126070</v>
      </c>
      <c r="H252" s="45" t="s">
        <v>1273</v>
      </c>
      <c r="I252" s="27" t="str">
        <f aca="false">IF(COUNTIF(Cash_Book!$G$6:$G$304,C252)=0,"Not in books","In books")</f>
        <v>In books</v>
      </c>
    </row>
    <row r="253" customFormat="false" ht="15" hidden="false" customHeight="false" outlineLevel="0" collapsed="false">
      <c r="A253" s="41" t="n">
        <v>46270</v>
      </c>
      <c r="B253" s="45" t="s">
        <v>1521</v>
      </c>
      <c r="C253" s="5" t="s">
        <v>797</v>
      </c>
      <c r="D253" s="43"/>
      <c r="E253" s="43" t="n">
        <v>439817</v>
      </c>
      <c r="F253" s="44" t="n">
        <f aca="false">N(E253)-N(D253)</f>
        <v>439817</v>
      </c>
      <c r="G253" s="29" t="n">
        <f aca="false">Setup!$B$8+SUM($F$6:F253)</f>
        <v>5565887</v>
      </c>
      <c r="H253" s="45" t="s">
        <v>1273</v>
      </c>
      <c r="I253" s="27" t="str">
        <f aca="false">IF(COUNTIF(Cash_Book!$G$6:$G$304,C253)=0,"Not in books","In books")</f>
        <v>In books</v>
      </c>
    </row>
    <row r="254" customFormat="false" ht="15" hidden="false" customHeight="false" outlineLevel="0" collapsed="false">
      <c r="A254" s="41" t="n">
        <v>46270</v>
      </c>
      <c r="B254" s="45" t="s">
        <v>1522</v>
      </c>
      <c r="C254" s="5" t="s">
        <v>801</v>
      </c>
      <c r="D254" s="43"/>
      <c r="E254" s="43" t="n">
        <v>131780</v>
      </c>
      <c r="F254" s="44" t="n">
        <f aca="false">N(E254)-N(D254)</f>
        <v>131780</v>
      </c>
      <c r="G254" s="29" t="n">
        <f aca="false">Setup!$B$8+SUM($F$6:F254)</f>
        <v>5697667</v>
      </c>
      <c r="H254" s="45" t="s">
        <v>1273</v>
      </c>
      <c r="I254" s="27" t="str">
        <f aca="false">IF(COUNTIF(Cash_Book!$G$6:$G$304,C254)=0,"Not in books","In books")</f>
        <v>In books</v>
      </c>
    </row>
    <row r="255" customFormat="false" ht="15" hidden="false" customHeight="false" outlineLevel="0" collapsed="false">
      <c r="A255" s="41" t="n">
        <v>46271</v>
      </c>
      <c r="B255" s="45" t="s">
        <v>1523</v>
      </c>
      <c r="C255" s="5" t="s">
        <v>799</v>
      </c>
      <c r="D255" s="43"/>
      <c r="E255" s="43" t="n">
        <v>100796</v>
      </c>
      <c r="F255" s="44" t="n">
        <f aca="false">N(E255)-N(D255)</f>
        <v>100796</v>
      </c>
      <c r="G255" s="29" t="n">
        <f aca="false">Setup!$B$8+SUM($F$6:F255)</f>
        <v>5798463</v>
      </c>
      <c r="H255" s="45" t="s">
        <v>1273</v>
      </c>
      <c r="I255" s="27" t="str">
        <f aca="false">IF(COUNTIF(Cash_Book!$G$6:$G$304,C255)=0,"Not in books","In books")</f>
        <v>In books</v>
      </c>
    </row>
    <row r="256" customFormat="false" ht="15" hidden="false" customHeight="false" outlineLevel="0" collapsed="false">
      <c r="A256" s="41" t="n">
        <v>46271</v>
      </c>
      <c r="B256" s="45" t="s">
        <v>1524</v>
      </c>
      <c r="C256" s="5" t="s">
        <v>803</v>
      </c>
      <c r="D256" s="43"/>
      <c r="E256" s="43" t="n">
        <v>569701</v>
      </c>
      <c r="F256" s="44" t="n">
        <f aca="false">N(E256)-N(D256)</f>
        <v>569701</v>
      </c>
      <c r="G256" s="29" t="n">
        <f aca="false">Setup!$B$8+SUM($F$6:F256)</f>
        <v>6368164</v>
      </c>
      <c r="H256" s="45" t="s">
        <v>1273</v>
      </c>
      <c r="I256" s="27" t="str">
        <f aca="false">IF(COUNTIF(Cash_Book!$G$6:$G$304,C256)=0,"Not in books","In books")</f>
        <v>In books</v>
      </c>
    </row>
    <row r="257" customFormat="false" ht="15" hidden="false" customHeight="false" outlineLevel="0" collapsed="false">
      <c r="A257" s="41" t="n">
        <v>46271</v>
      </c>
      <c r="B257" s="45" t="s">
        <v>1525</v>
      </c>
      <c r="C257" s="5" t="s">
        <v>1208</v>
      </c>
      <c r="D257" s="43" t="n">
        <v>95000</v>
      </c>
      <c r="E257" s="43"/>
      <c r="F257" s="44" t="n">
        <f aca="false">N(E257)-N(D257)</f>
        <v>-95000</v>
      </c>
      <c r="G257" s="29" t="n">
        <f aca="false">Setup!$B$8+SUM($F$6:F257)</f>
        <v>6273164</v>
      </c>
      <c r="H257" s="45" t="s">
        <v>1271</v>
      </c>
      <c r="I257" s="27" t="str">
        <f aca="false">IF(COUNTIF(Cash_Book!$G$6:$G$304,C257)=0,"Not in books","In books")</f>
        <v>In books</v>
      </c>
    </row>
    <row r="258" customFormat="false" ht="15" hidden="false" customHeight="false" outlineLevel="0" collapsed="false">
      <c r="A258" s="41" t="n">
        <v>46271</v>
      </c>
      <c r="B258" s="45" t="s">
        <v>1526</v>
      </c>
      <c r="C258" s="5" t="s">
        <v>807</v>
      </c>
      <c r="D258" s="43"/>
      <c r="E258" s="43" t="n">
        <v>243701</v>
      </c>
      <c r="F258" s="44" t="n">
        <f aca="false">N(E258)-N(D258)</f>
        <v>243701</v>
      </c>
      <c r="G258" s="29" t="n">
        <f aca="false">Setup!$B$8+SUM($F$6:F258)</f>
        <v>6516865</v>
      </c>
      <c r="H258" s="45" t="s">
        <v>1273</v>
      </c>
      <c r="I258" s="27" t="str">
        <f aca="false">IF(COUNTIF(Cash_Book!$G$6:$G$304,C258)=0,"Not in books","In books")</f>
        <v>In books</v>
      </c>
    </row>
    <row r="259" customFormat="false" ht="15" hidden="false" customHeight="false" outlineLevel="0" collapsed="false">
      <c r="A259" s="41" t="n">
        <v>46273</v>
      </c>
      <c r="B259" s="45" t="s">
        <v>1527</v>
      </c>
      <c r="C259" s="5" t="s">
        <v>809</v>
      </c>
      <c r="D259" s="43"/>
      <c r="E259" s="43" t="n">
        <v>211441</v>
      </c>
      <c r="F259" s="44" t="n">
        <f aca="false">N(E259)-N(D259)</f>
        <v>211441</v>
      </c>
      <c r="G259" s="29" t="n">
        <f aca="false">Setup!$B$8+SUM($F$6:F259)</f>
        <v>6728306</v>
      </c>
      <c r="H259" s="45" t="s">
        <v>1273</v>
      </c>
      <c r="I259" s="27" t="str">
        <f aca="false">IF(COUNTIF(Cash_Book!$G$6:$G$304,C259)=0,"Not in books","In books")</f>
        <v>In books</v>
      </c>
    </row>
    <row r="260" customFormat="false" ht="15" hidden="false" customHeight="false" outlineLevel="0" collapsed="false">
      <c r="A260" s="41" t="n">
        <v>46274</v>
      </c>
      <c r="B260" s="45" t="s">
        <v>1528</v>
      </c>
      <c r="C260" s="5" t="s">
        <v>805</v>
      </c>
      <c r="D260" s="43"/>
      <c r="E260" s="43" t="n">
        <v>78156</v>
      </c>
      <c r="F260" s="44" t="n">
        <f aca="false">N(E260)-N(D260)</f>
        <v>78156</v>
      </c>
      <c r="G260" s="29" t="n">
        <f aca="false">Setup!$B$8+SUM($F$6:F260)</f>
        <v>6806462</v>
      </c>
      <c r="H260" s="45" t="s">
        <v>1273</v>
      </c>
      <c r="I260" s="27" t="str">
        <f aca="false">IF(COUNTIF(Cash_Book!$G$6:$G$304,C260)=0,"Not in books","In books")</f>
        <v>In books</v>
      </c>
    </row>
    <row r="261" customFormat="false" ht="15" hidden="false" customHeight="false" outlineLevel="0" collapsed="false">
      <c r="A261" s="41" t="n">
        <v>46274</v>
      </c>
      <c r="B261" s="45" t="s">
        <v>1529</v>
      </c>
      <c r="C261" s="5" t="s">
        <v>811</v>
      </c>
      <c r="D261" s="43"/>
      <c r="E261" s="43" t="n">
        <v>107838</v>
      </c>
      <c r="F261" s="44" t="n">
        <f aca="false">N(E261)-N(D261)</f>
        <v>107838</v>
      </c>
      <c r="G261" s="29" t="n">
        <f aca="false">Setup!$B$8+SUM($F$6:F261)</f>
        <v>6914300</v>
      </c>
      <c r="H261" s="45" t="s">
        <v>1273</v>
      </c>
      <c r="I261" s="27" t="str">
        <f aca="false">IF(COUNTIF(Cash_Book!$G$6:$G$304,C261)=0,"Not in books","In books")</f>
        <v>In books</v>
      </c>
    </row>
    <row r="262" customFormat="false" ht="15" hidden="false" customHeight="false" outlineLevel="0" collapsed="false">
      <c r="A262" s="41" t="n">
        <v>46274</v>
      </c>
      <c r="B262" s="45" t="s">
        <v>1530</v>
      </c>
      <c r="C262" s="5" t="s">
        <v>813</v>
      </c>
      <c r="D262" s="43"/>
      <c r="E262" s="43" t="n">
        <v>43301</v>
      </c>
      <c r="F262" s="44" t="n">
        <f aca="false">N(E262)-N(D262)</f>
        <v>43301</v>
      </c>
      <c r="G262" s="29" t="n">
        <f aca="false">Setup!$B$8+SUM($F$6:F262)</f>
        <v>6957601</v>
      </c>
      <c r="H262" s="45" t="s">
        <v>1273</v>
      </c>
      <c r="I262" s="27" t="str">
        <f aca="false">IF(COUNTIF(Cash_Book!$G$6:$G$304,C262)=0,"Not in books","In books")</f>
        <v>In books</v>
      </c>
    </row>
    <row r="263" customFormat="false" ht="15" hidden="false" customHeight="false" outlineLevel="0" collapsed="false">
      <c r="A263" s="41" t="n">
        <v>46275</v>
      </c>
      <c r="B263" s="45" t="s">
        <v>1531</v>
      </c>
      <c r="C263" s="5" t="s">
        <v>815</v>
      </c>
      <c r="D263" s="43"/>
      <c r="E263" s="43" t="n">
        <v>233539</v>
      </c>
      <c r="F263" s="44" t="n">
        <f aca="false">N(E263)-N(D263)</f>
        <v>233539</v>
      </c>
      <c r="G263" s="29" t="n">
        <f aca="false">Setup!$B$8+SUM($F$6:F263)</f>
        <v>7191140</v>
      </c>
      <c r="H263" s="45" t="s">
        <v>1273</v>
      </c>
      <c r="I263" s="27" t="str">
        <f aca="false">IF(COUNTIF(Cash_Book!$G$6:$G$304,C263)=0,"Not in books","In books")</f>
        <v>In books</v>
      </c>
    </row>
    <row r="264" customFormat="false" ht="15" hidden="false" customHeight="false" outlineLevel="0" collapsed="false">
      <c r="A264" s="41" t="n">
        <v>46275</v>
      </c>
      <c r="B264" s="45" t="s">
        <v>1532</v>
      </c>
      <c r="C264" s="5" t="s">
        <v>817</v>
      </c>
      <c r="D264" s="43"/>
      <c r="E264" s="43" t="n">
        <v>131648</v>
      </c>
      <c r="F264" s="44" t="n">
        <f aca="false">N(E264)-N(D264)</f>
        <v>131648</v>
      </c>
      <c r="G264" s="29" t="n">
        <f aca="false">Setup!$B$8+SUM($F$6:F264)</f>
        <v>7322788</v>
      </c>
      <c r="H264" s="45" t="s">
        <v>1273</v>
      </c>
      <c r="I264" s="27" t="str">
        <f aca="false">IF(COUNTIF(Cash_Book!$G$6:$G$304,C264)=0,"Not in books","In books")</f>
        <v>In books</v>
      </c>
    </row>
    <row r="265" customFormat="false" ht="15" hidden="false" customHeight="false" outlineLevel="0" collapsed="false">
      <c r="A265" s="41" t="n">
        <v>46276</v>
      </c>
      <c r="B265" s="45" t="s">
        <v>1533</v>
      </c>
      <c r="C265" s="5" t="s">
        <v>819</v>
      </c>
      <c r="D265" s="43"/>
      <c r="E265" s="43" t="n">
        <v>141799</v>
      </c>
      <c r="F265" s="44" t="n">
        <f aca="false">N(E265)-N(D265)</f>
        <v>141799</v>
      </c>
      <c r="G265" s="29" t="n">
        <f aca="false">Setup!$B$8+SUM($F$6:F265)</f>
        <v>7464587</v>
      </c>
      <c r="H265" s="45" t="s">
        <v>1273</v>
      </c>
      <c r="I265" s="27" t="str">
        <f aca="false">IF(COUNTIF(Cash_Book!$G$6:$G$304,C265)=0,"Not in books","In books")</f>
        <v>In books</v>
      </c>
    </row>
    <row r="266" customFormat="false" ht="15" hidden="false" customHeight="false" outlineLevel="0" collapsed="false">
      <c r="A266" s="41" t="n">
        <v>46276</v>
      </c>
      <c r="B266" s="45" t="s">
        <v>1534</v>
      </c>
      <c r="C266" s="5" t="s">
        <v>1216</v>
      </c>
      <c r="D266" s="43" t="n">
        <v>6164000</v>
      </c>
      <c r="E266" s="43"/>
      <c r="F266" s="44" t="n">
        <f aca="false">N(E266)-N(D266)</f>
        <v>-6164000</v>
      </c>
      <c r="G266" s="29" t="n">
        <f aca="false">Setup!$B$8+SUM($F$6:F266)</f>
        <v>1300587</v>
      </c>
      <c r="H266" s="45" t="s">
        <v>1275</v>
      </c>
      <c r="I266" s="27" t="str">
        <f aca="false">IF(COUNTIF(Cash_Book!$G$6:$G$304,C266)=0,"Not in books","In books")</f>
        <v>In books</v>
      </c>
    </row>
    <row r="267" customFormat="false" ht="15" hidden="false" customHeight="false" outlineLevel="0" collapsed="false">
      <c r="A267" s="41" t="n">
        <v>46277</v>
      </c>
      <c r="B267" s="45" t="s">
        <v>1535</v>
      </c>
      <c r="C267" s="5" t="s">
        <v>821</v>
      </c>
      <c r="D267" s="43"/>
      <c r="E267" s="43" t="n">
        <v>398897</v>
      </c>
      <c r="F267" s="44" t="n">
        <f aca="false">N(E267)-N(D267)</f>
        <v>398897</v>
      </c>
      <c r="G267" s="29" t="n">
        <f aca="false">Setup!$B$8+SUM($F$6:F267)</f>
        <v>1699484</v>
      </c>
      <c r="H267" s="45" t="s">
        <v>1273</v>
      </c>
      <c r="I267" s="27" t="str">
        <f aca="false">IF(COUNTIF(Cash_Book!$G$6:$G$304,C267)=0,"Not in books","In books")</f>
        <v>In books</v>
      </c>
    </row>
    <row r="268" customFormat="false" ht="15" hidden="false" customHeight="false" outlineLevel="0" collapsed="false">
      <c r="A268" s="41" t="n">
        <v>46277</v>
      </c>
      <c r="B268" s="45" t="s">
        <v>1536</v>
      </c>
      <c r="C268" s="5" t="s">
        <v>823</v>
      </c>
      <c r="D268" s="43"/>
      <c r="E268" s="43" t="n">
        <v>129028</v>
      </c>
      <c r="F268" s="44" t="n">
        <f aca="false">N(E268)-N(D268)</f>
        <v>129028</v>
      </c>
      <c r="G268" s="29" t="n">
        <f aca="false">Setup!$B$8+SUM($F$6:F268)</f>
        <v>1828512</v>
      </c>
      <c r="H268" s="45" t="s">
        <v>1273</v>
      </c>
      <c r="I268" s="27" t="str">
        <f aca="false">IF(COUNTIF(Cash_Book!$G$6:$G$304,C268)=0,"Not in books","In books")</f>
        <v>In books</v>
      </c>
    </row>
    <row r="269" customFormat="false" ht="15" hidden="false" customHeight="false" outlineLevel="0" collapsed="false">
      <c r="A269" s="41" t="n">
        <v>46277</v>
      </c>
      <c r="B269" s="45" t="s">
        <v>1537</v>
      </c>
      <c r="C269" s="5" t="s">
        <v>825</v>
      </c>
      <c r="D269" s="43"/>
      <c r="E269" s="43" t="n">
        <v>250873</v>
      </c>
      <c r="F269" s="44" t="n">
        <f aca="false">N(E269)-N(D269)</f>
        <v>250873</v>
      </c>
      <c r="G269" s="29" t="n">
        <f aca="false">Setup!$B$8+SUM($F$6:F269)</f>
        <v>2079385</v>
      </c>
      <c r="H269" s="45" t="s">
        <v>1273</v>
      </c>
      <c r="I269" s="27" t="str">
        <f aca="false">IF(COUNTIF(Cash_Book!$G$6:$G$304,C269)=0,"Not in books","In books")</f>
        <v>In books</v>
      </c>
    </row>
    <row r="270" customFormat="false" ht="15" hidden="false" customHeight="false" outlineLevel="0" collapsed="false">
      <c r="A270" s="41" t="n">
        <v>46277</v>
      </c>
      <c r="B270" s="45" t="s">
        <v>1538</v>
      </c>
      <c r="C270" s="5" t="s">
        <v>827</v>
      </c>
      <c r="D270" s="43"/>
      <c r="E270" s="43" t="n">
        <v>305683</v>
      </c>
      <c r="F270" s="44" t="n">
        <f aca="false">N(E270)-N(D270)</f>
        <v>305683</v>
      </c>
      <c r="G270" s="29" t="n">
        <f aca="false">Setup!$B$8+SUM($F$6:F270)</f>
        <v>2385068</v>
      </c>
      <c r="H270" s="45" t="s">
        <v>1273</v>
      </c>
      <c r="I270" s="27" t="str">
        <f aca="false">IF(COUNTIF(Cash_Book!$G$6:$G$304,C270)=0,"Not in books","In books")</f>
        <v>In books</v>
      </c>
    </row>
    <row r="271" customFormat="false" ht="15" hidden="false" customHeight="false" outlineLevel="0" collapsed="false">
      <c r="A271" s="41" t="n">
        <v>46278</v>
      </c>
      <c r="B271" s="45" t="s">
        <v>1539</v>
      </c>
      <c r="C271" s="5" t="s">
        <v>829</v>
      </c>
      <c r="D271" s="43"/>
      <c r="E271" s="43" t="n">
        <v>383775</v>
      </c>
      <c r="F271" s="44" t="n">
        <f aca="false">N(E271)-N(D271)</f>
        <v>383775</v>
      </c>
      <c r="G271" s="29" t="n">
        <f aca="false">Setup!$B$8+SUM($F$6:F271)</f>
        <v>2768843</v>
      </c>
      <c r="H271" s="45" t="s">
        <v>1273</v>
      </c>
      <c r="I271" s="27" t="str">
        <f aca="false">IF(COUNTIF(Cash_Book!$G$6:$G$304,C271)=0,"Not in books","In books")</f>
        <v>In books</v>
      </c>
    </row>
    <row r="272" customFormat="false" ht="15" hidden="false" customHeight="false" outlineLevel="0" collapsed="false">
      <c r="A272" s="41" t="n">
        <v>46278</v>
      </c>
      <c r="B272" s="45" t="s">
        <v>1540</v>
      </c>
      <c r="C272" s="5" t="s">
        <v>831</v>
      </c>
      <c r="D272" s="43"/>
      <c r="E272" s="43" t="n">
        <v>159492</v>
      </c>
      <c r="F272" s="44" t="n">
        <f aca="false">N(E272)-N(D272)</f>
        <v>159492</v>
      </c>
      <c r="G272" s="29" t="n">
        <f aca="false">Setup!$B$8+SUM($F$6:F272)</f>
        <v>2928335</v>
      </c>
      <c r="H272" s="45" t="s">
        <v>1273</v>
      </c>
      <c r="I272" s="27" t="str">
        <f aca="false">IF(COUNTIF(Cash_Book!$G$6:$G$304,C272)=0,"Not in books","In books")</f>
        <v>In books</v>
      </c>
    </row>
    <row r="273" customFormat="false" ht="15" hidden="false" customHeight="false" outlineLevel="0" collapsed="false">
      <c r="A273" s="41" t="n">
        <v>46278</v>
      </c>
      <c r="B273" s="45" t="s">
        <v>1541</v>
      </c>
      <c r="C273" s="5" t="s">
        <v>833</v>
      </c>
      <c r="D273" s="43"/>
      <c r="E273" s="43" t="n">
        <v>48092</v>
      </c>
      <c r="F273" s="44" t="n">
        <f aca="false">N(E273)-N(D273)</f>
        <v>48092</v>
      </c>
      <c r="G273" s="29" t="n">
        <f aca="false">Setup!$B$8+SUM($F$6:F273)</f>
        <v>2976427</v>
      </c>
      <c r="H273" s="45" t="s">
        <v>1273</v>
      </c>
      <c r="I273" s="27" t="str">
        <f aca="false">IF(COUNTIF(Cash_Book!$G$6:$G$304,C273)=0,"Not in books","In books")</f>
        <v>In books</v>
      </c>
    </row>
    <row r="274" customFormat="false" ht="15" hidden="false" customHeight="false" outlineLevel="0" collapsed="false">
      <c r="A274" s="41" t="n">
        <v>46278</v>
      </c>
      <c r="B274" s="45" t="s">
        <v>1542</v>
      </c>
      <c r="C274" s="5" t="s">
        <v>837</v>
      </c>
      <c r="D274" s="43"/>
      <c r="E274" s="43" t="n">
        <v>145117</v>
      </c>
      <c r="F274" s="44" t="n">
        <f aca="false">N(E274)-N(D274)</f>
        <v>145117</v>
      </c>
      <c r="G274" s="29" t="n">
        <f aca="false">Setup!$B$8+SUM($F$6:F274)</f>
        <v>3121544</v>
      </c>
      <c r="H274" s="45" t="s">
        <v>1273</v>
      </c>
      <c r="I274" s="27" t="str">
        <f aca="false">IF(COUNTIF(Cash_Book!$G$6:$G$304,C274)=0,"Not in books","In books")</f>
        <v>In books</v>
      </c>
    </row>
    <row r="275" customFormat="false" ht="15" hidden="false" customHeight="false" outlineLevel="0" collapsed="false">
      <c r="A275" s="41" t="n">
        <v>46279</v>
      </c>
      <c r="B275" s="45" t="s">
        <v>1543</v>
      </c>
      <c r="C275" s="5" t="s">
        <v>835</v>
      </c>
      <c r="D275" s="43"/>
      <c r="E275" s="43" t="n">
        <v>499600</v>
      </c>
      <c r="F275" s="44" t="n">
        <f aca="false">N(E275)-N(D275)</f>
        <v>499600</v>
      </c>
      <c r="G275" s="29" t="n">
        <f aca="false">Setup!$B$8+SUM($F$6:F275)</f>
        <v>3621144</v>
      </c>
      <c r="H275" s="45" t="s">
        <v>1273</v>
      </c>
      <c r="I275" s="27" t="str">
        <f aca="false">IF(COUNTIF(Cash_Book!$G$6:$G$304,C275)=0,"Not in books","In books")</f>
        <v>In books</v>
      </c>
    </row>
    <row r="276" customFormat="false" ht="15" hidden="false" customHeight="false" outlineLevel="0" collapsed="false">
      <c r="A276" s="41" t="n">
        <v>46280</v>
      </c>
      <c r="B276" s="45" t="s">
        <v>1544</v>
      </c>
      <c r="C276" s="5" t="s">
        <v>839</v>
      </c>
      <c r="D276" s="43"/>
      <c r="E276" s="43" t="n">
        <v>141812</v>
      </c>
      <c r="F276" s="44" t="n">
        <f aca="false">N(E276)-N(D276)</f>
        <v>141812</v>
      </c>
      <c r="G276" s="29" t="n">
        <f aca="false">Setup!$B$8+SUM($F$6:F276)</f>
        <v>3762956</v>
      </c>
      <c r="H276" s="45" t="s">
        <v>1273</v>
      </c>
      <c r="I276" s="27" t="str">
        <f aca="false">IF(COUNTIF(Cash_Book!$G$6:$G$304,C276)=0,"Not in books","In books")</f>
        <v>In books</v>
      </c>
    </row>
    <row r="277" customFormat="false" ht="15" hidden="false" customHeight="false" outlineLevel="0" collapsed="false">
      <c r="A277" s="41" t="n">
        <v>46281</v>
      </c>
      <c r="B277" s="45" t="s">
        <v>1545</v>
      </c>
      <c r="C277" s="5" t="s">
        <v>1229</v>
      </c>
      <c r="D277" s="43" t="n">
        <v>161966</v>
      </c>
      <c r="E277" s="43"/>
      <c r="F277" s="44" t="n">
        <f aca="false">N(E277)-N(D277)</f>
        <v>-161966</v>
      </c>
      <c r="G277" s="29" t="n">
        <f aca="false">Setup!$B$8+SUM($F$6:F277)</f>
        <v>3600990</v>
      </c>
      <c r="H277" s="45" t="s">
        <v>1269</v>
      </c>
      <c r="I277" s="27" t="str">
        <f aca="false">IF(COUNTIF(Cash_Book!$G$6:$G$304,C277)=0,"Not in books","In books")</f>
        <v>In books</v>
      </c>
    </row>
    <row r="278" customFormat="false" ht="15" hidden="false" customHeight="false" outlineLevel="0" collapsed="false">
      <c r="A278" s="41" t="n">
        <v>46281</v>
      </c>
      <c r="B278" s="45" t="s">
        <v>1546</v>
      </c>
      <c r="C278" s="5" t="s">
        <v>841</v>
      </c>
      <c r="D278" s="43"/>
      <c r="E278" s="43" t="n">
        <v>304912</v>
      </c>
      <c r="F278" s="44" t="n">
        <f aca="false">N(E278)-N(D278)</f>
        <v>304912</v>
      </c>
      <c r="G278" s="29" t="n">
        <f aca="false">Setup!$B$8+SUM($F$6:F278)</f>
        <v>3905902</v>
      </c>
      <c r="H278" s="45" t="s">
        <v>1273</v>
      </c>
      <c r="I278" s="27" t="str">
        <f aca="false">IF(COUNTIF(Cash_Book!$G$6:$G$304,C278)=0,"Not in books","In books")</f>
        <v>In books</v>
      </c>
    </row>
    <row r="279" customFormat="false" ht="15" hidden="false" customHeight="false" outlineLevel="0" collapsed="false">
      <c r="A279" s="41" t="n">
        <v>46283</v>
      </c>
      <c r="B279" s="45" t="s">
        <v>1547</v>
      </c>
      <c r="C279" s="5" t="s">
        <v>1548</v>
      </c>
      <c r="D279" s="43" t="n">
        <v>354</v>
      </c>
      <c r="E279" s="43"/>
      <c r="F279" s="44" t="n">
        <f aca="false">N(E279)-N(D279)</f>
        <v>-354</v>
      </c>
      <c r="G279" s="29" t="n">
        <f aca="false">Setup!$B$8+SUM($F$6:F279)</f>
        <v>3905548</v>
      </c>
      <c r="H279" s="45" t="s">
        <v>1549</v>
      </c>
      <c r="I279" s="27" t="str">
        <f aca="false">IF(COUNTIF(Cash_Book!$G$6:$G$304,C279)=0,"Not in books","In books")</f>
        <v>Not in books</v>
      </c>
    </row>
    <row r="280" customFormat="false" ht="15" hidden="false" customHeight="false" outlineLevel="0" collapsed="false">
      <c r="A280" s="41" t="n">
        <v>46284</v>
      </c>
      <c r="B280" s="45" t="s">
        <v>1550</v>
      </c>
      <c r="C280" s="5" t="s">
        <v>845</v>
      </c>
      <c r="D280" s="43"/>
      <c r="E280" s="43" t="n">
        <v>165778</v>
      </c>
      <c r="F280" s="44" t="n">
        <f aca="false">N(E280)-N(D280)</f>
        <v>165778</v>
      </c>
      <c r="G280" s="29" t="n">
        <f aca="false">Setup!$B$8+SUM($F$6:F280)</f>
        <v>4071326</v>
      </c>
      <c r="H280" s="45" t="s">
        <v>1273</v>
      </c>
      <c r="I280" s="27" t="str">
        <f aca="false">IF(COUNTIF(Cash_Book!$G$6:$G$304,C280)=0,"Not in books","In books")</f>
        <v>In books</v>
      </c>
    </row>
    <row r="281" customFormat="false" ht="15" hidden="false" customHeight="false" outlineLevel="0" collapsed="false">
      <c r="A281" s="41" t="n">
        <v>46285</v>
      </c>
      <c r="B281" s="45" t="s">
        <v>1551</v>
      </c>
      <c r="C281" s="5" t="s">
        <v>843</v>
      </c>
      <c r="D281" s="43"/>
      <c r="E281" s="43" t="n">
        <v>199451</v>
      </c>
      <c r="F281" s="44" t="n">
        <f aca="false">N(E281)-N(D281)</f>
        <v>199451</v>
      </c>
      <c r="G281" s="29" t="n">
        <f aca="false">Setup!$B$8+SUM($F$6:F281)</f>
        <v>4270777</v>
      </c>
      <c r="H281" s="45" t="s">
        <v>1273</v>
      </c>
      <c r="I281" s="27" t="str">
        <f aca="false">IF(COUNTIF(Cash_Book!$G$6:$G$304,C281)=0,"Not in books","In books")</f>
        <v>In books</v>
      </c>
    </row>
    <row r="282" customFormat="false" ht="15" hidden="false" customHeight="false" outlineLevel="0" collapsed="false">
      <c r="A282" s="41" t="n">
        <v>46285</v>
      </c>
      <c r="B282" s="45" t="s">
        <v>1552</v>
      </c>
      <c r="C282" s="5" t="s">
        <v>851</v>
      </c>
      <c r="D282" s="43"/>
      <c r="E282" s="43" t="n">
        <v>85667</v>
      </c>
      <c r="F282" s="44" t="n">
        <f aca="false">N(E282)-N(D282)</f>
        <v>85667</v>
      </c>
      <c r="G282" s="29" t="n">
        <f aca="false">Setup!$B$8+SUM($F$6:F282)</f>
        <v>4356444</v>
      </c>
      <c r="H282" s="45" t="s">
        <v>1273</v>
      </c>
      <c r="I282" s="27" t="str">
        <f aca="false">IF(COUNTIF(Cash_Book!$G$6:$G$304,C282)=0,"Not in books","In books")</f>
        <v>In books</v>
      </c>
    </row>
    <row r="283" customFormat="false" ht="15" hidden="false" customHeight="false" outlineLevel="0" collapsed="false">
      <c r="A283" s="41" t="n">
        <v>46285</v>
      </c>
      <c r="B283" s="45" t="s">
        <v>1553</v>
      </c>
      <c r="C283" s="5" t="s">
        <v>1237</v>
      </c>
      <c r="D283" s="43" t="n">
        <v>210000</v>
      </c>
      <c r="E283" s="43"/>
      <c r="F283" s="44" t="n">
        <f aca="false">N(E283)-N(D283)</f>
        <v>-210000</v>
      </c>
      <c r="G283" s="29" t="n">
        <f aca="false">Setup!$B$8+SUM($F$6:F283)</f>
        <v>4146444</v>
      </c>
      <c r="H283" s="45" t="s">
        <v>1287</v>
      </c>
      <c r="I283" s="27" t="str">
        <f aca="false">IF(COUNTIF(Cash_Book!$G$6:$G$304,C283)=0,"Not in books","In books")</f>
        <v>In books</v>
      </c>
    </row>
    <row r="284" customFormat="false" ht="15" hidden="false" customHeight="false" outlineLevel="0" collapsed="false">
      <c r="A284" s="41" t="n">
        <v>46286</v>
      </c>
      <c r="B284" s="45" t="s">
        <v>1554</v>
      </c>
      <c r="C284" s="5" t="s">
        <v>849</v>
      </c>
      <c r="D284" s="43"/>
      <c r="E284" s="43" t="n">
        <v>79621</v>
      </c>
      <c r="F284" s="44" t="n">
        <f aca="false">N(E284)-N(D284)</f>
        <v>79621</v>
      </c>
      <c r="G284" s="29" t="n">
        <f aca="false">Setup!$B$8+SUM($F$6:F284)</f>
        <v>4226065</v>
      </c>
      <c r="H284" s="45" t="s">
        <v>1273</v>
      </c>
      <c r="I284" s="27" t="str">
        <f aca="false">IF(COUNTIF(Cash_Book!$G$6:$G$304,C284)=0,"Not in books","In books")</f>
        <v>In books</v>
      </c>
    </row>
    <row r="285" customFormat="false" ht="15" hidden="false" customHeight="false" outlineLevel="0" collapsed="false">
      <c r="A285" s="41" t="n">
        <v>46287</v>
      </c>
      <c r="B285" s="45" t="s">
        <v>1555</v>
      </c>
      <c r="C285" s="5" t="s">
        <v>1227</v>
      </c>
      <c r="D285" s="43" t="n">
        <v>41235</v>
      </c>
      <c r="E285" s="43"/>
      <c r="F285" s="44" t="n">
        <f aca="false">N(E285)-N(D285)</f>
        <v>-41235</v>
      </c>
      <c r="G285" s="29" t="n">
        <f aca="false">Setup!$B$8+SUM($F$6:F285)</f>
        <v>4184830</v>
      </c>
      <c r="H285" s="45" t="s">
        <v>1269</v>
      </c>
      <c r="I285" s="27" t="str">
        <f aca="false">IF(COUNTIF(Cash_Book!$G$6:$G$304,C285)=0,"Not in books","In books")</f>
        <v>In books</v>
      </c>
    </row>
    <row r="286" customFormat="false" ht="15" hidden="false" customHeight="false" outlineLevel="0" collapsed="false">
      <c r="A286" s="41" t="n">
        <v>46287</v>
      </c>
      <c r="B286" s="45" t="s">
        <v>1556</v>
      </c>
      <c r="C286" s="5" t="s">
        <v>847</v>
      </c>
      <c r="D286" s="43"/>
      <c r="E286" s="43" t="n">
        <v>87471</v>
      </c>
      <c r="F286" s="44" t="n">
        <f aca="false">N(E286)-N(D286)</f>
        <v>87471</v>
      </c>
      <c r="G286" s="29" t="n">
        <f aca="false">Setup!$B$8+SUM($F$6:F286)</f>
        <v>4272301</v>
      </c>
      <c r="H286" s="45" t="s">
        <v>1273</v>
      </c>
      <c r="I286" s="27" t="str">
        <f aca="false">IF(COUNTIF(Cash_Book!$G$6:$G$304,C286)=0,"Not in books","In books")</f>
        <v>In books</v>
      </c>
    </row>
    <row r="287" customFormat="false" ht="15" hidden="false" customHeight="false" outlineLevel="0" collapsed="false">
      <c r="A287" s="41" t="n">
        <v>46287</v>
      </c>
      <c r="B287" s="45" t="s">
        <v>1557</v>
      </c>
      <c r="C287" s="5" t="s">
        <v>853</v>
      </c>
      <c r="D287" s="43"/>
      <c r="E287" s="43" t="n">
        <v>362750</v>
      </c>
      <c r="F287" s="44" t="n">
        <f aca="false">N(E287)-N(D287)</f>
        <v>362750</v>
      </c>
      <c r="G287" s="29" t="n">
        <f aca="false">Setup!$B$8+SUM($F$6:F287)</f>
        <v>4635051</v>
      </c>
      <c r="H287" s="45" t="s">
        <v>1273</v>
      </c>
      <c r="I287" s="27" t="str">
        <f aca="false">IF(COUNTIF(Cash_Book!$G$6:$G$304,C287)=0,"Not in books","In books")</f>
        <v>In books</v>
      </c>
    </row>
    <row r="288" customFormat="false" ht="15" hidden="false" customHeight="false" outlineLevel="0" collapsed="false">
      <c r="A288" s="41" t="n">
        <v>46288</v>
      </c>
      <c r="B288" s="45" t="s">
        <v>1558</v>
      </c>
      <c r="C288" s="5" t="s">
        <v>855</v>
      </c>
      <c r="D288" s="43"/>
      <c r="E288" s="43" t="n">
        <v>46620</v>
      </c>
      <c r="F288" s="44" t="n">
        <f aca="false">N(E288)-N(D288)</f>
        <v>46620</v>
      </c>
      <c r="G288" s="29" t="n">
        <f aca="false">Setup!$B$8+SUM($F$6:F288)</f>
        <v>4681671</v>
      </c>
      <c r="H288" s="45" t="s">
        <v>1273</v>
      </c>
      <c r="I288" s="27" t="str">
        <f aca="false">IF(COUNTIF(Cash_Book!$G$6:$G$304,C288)=0,"Not in books","In books")</f>
        <v>In books</v>
      </c>
    </row>
    <row r="289" customFormat="false" ht="15" hidden="false" customHeight="false" outlineLevel="0" collapsed="false">
      <c r="A289" s="41" t="n">
        <v>46288</v>
      </c>
      <c r="B289" s="45" t="s">
        <v>1559</v>
      </c>
      <c r="C289" s="5" t="s">
        <v>859</v>
      </c>
      <c r="D289" s="43"/>
      <c r="E289" s="43" t="n">
        <v>308223</v>
      </c>
      <c r="F289" s="44" t="n">
        <f aca="false">N(E289)-N(D289)</f>
        <v>308223</v>
      </c>
      <c r="G289" s="29" t="n">
        <f aca="false">Setup!$B$8+SUM($F$6:F289)</f>
        <v>4989894</v>
      </c>
      <c r="H289" s="45" t="s">
        <v>1273</v>
      </c>
      <c r="I289" s="27" t="str">
        <f aca="false">IF(COUNTIF(Cash_Book!$G$6:$G$304,C289)=0,"Not in books","In books")</f>
        <v>In books</v>
      </c>
    </row>
    <row r="290" customFormat="false" ht="15" hidden="false" customHeight="false" outlineLevel="0" collapsed="false">
      <c r="A290" s="41" t="n">
        <v>46288</v>
      </c>
      <c r="B290" s="45" t="s">
        <v>1560</v>
      </c>
      <c r="C290" s="5" t="s">
        <v>861</v>
      </c>
      <c r="D290" s="43"/>
      <c r="E290" s="43" t="n">
        <v>283959</v>
      </c>
      <c r="F290" s="44" t="n">
        <f aca="false">N(E290)-N(D290)</f>
        <v>283959</v>
      </c>
      <c r="G290" s="29" t="n">
        <f aca="false">Setup!$B$8+SUM($F$6:F290)</f>
        <v>5273853</v>
      </c>
      <c r="H290" s="45" t="s">
        <v>1273</v>
      </c>
      <c r="I290" s="27" t="str">
        <f aca="false">IF(COUNTIF(Cash_Book!$G$6:$G$304,C290)=0,"Not in books","In books")</f>
        <v>In books</v>
      </c>
    </row>
    <row r="291" customFormat="false" ht="15" hidden="false" customHeight="false" outlineLevel="0" collapsed="false">
      <c r="A291" s="41" t="n">
        <v>46289</v>
      </c>
      <c r="B291" s="45" t="s">
        <v>1561</v>
      </c>
      <c r="C291" s="5" t="s">
        <v>857</v>
      </c>
      <c r="D291" s="43"/>
      <c r="E291" s="43" t="n">
        <v>264630</v>
      </c>
      <c r="F291" s="44" t="n">
        <f aca="false">N(E291)-N(D291)</f>
        <v>264630</v>
      </c>
      <c r="G291" s="29" t="n">
        <f aca="false">Setup!$B$8+SUM($F$6:F291)</f>
        <v>5538483</v>
      </c>
      <c r="H291" s="45" t="s">
        <v>1273</v>
      </c>
      <c r="I291" s="27" t="str">
        <f aca="false">IF(COUNTIF(Cash_Book!$G$6:$G$304,C291)=0,"Not in books","In books")</f>
        <v>In books</v>
      </c>
    </row>
    <row r="292" customFormat="false" ht="15" hidden="false" customHeight="false" outlineLevel="0" collapsed="false">
      <c r="A292" s="41" t="n">
        <v>46289</v>
      </c>
      <c r="B292" s="45" t="s">
        <v>1562</v>
      </c>
      <c r="C292" s="5" t="s">
        <v>1244</v>
      </c>
      <c r="D292" s="43" t="n">
        <v>20344</v>
      </c>
      <c r="E292" s="43"/>
      <c r="F292" s="44" t="n">
        <f aca="false">N(E292)-N(D292)</f>
        <v>-20344</v>
      </c>
      <c r="G292" s="29" t="n">
        <f aca="false">Setup!$B$8+SUM($F$6:F292)</f>
        <v>5518139</v>
      </c>
      <c r="H292" s="45" t="s">
        <v>1269</v>
      </c>
      <c r="I292" s="27" t="str">
        <f aca="false">IF(COUNTIF(Cash_Book!$G$6:$G$304,C292)=0,"Not in books","In books")</f>
        <v>In books</v>
      </c>
    </row>
    <row r="293" customFormat="false" ht="15" hidden="false" customHeight="false" outlineLevel="0" collapsed="false">
      <c r="A293" s="41" t="n">
        <v>46290</v>
      </c>
      <c r="B293" s="45" t="s">
        <v>1563</v>
      </c>
      <c r="C293" s="5" t="s">
        <v>863</v>
      </c>
      <c r="D293" s="43"/>
      <c r="E293" s="43" t="n">
        <v>395695</v>
      </c>
      <c r="F293" s="44" t="n">
        <f aca="false">N(E293)-N(D293)</f>
        <v>395695</v>
      </c>
      <c r="G293" s="29" t="n">
        <f aca="false">Setup!$B$8+SUM($F$6:F293)</f>
        <v>5913834</v>
      </c>
      <c r="H293" s="45" t="s">
        <v>1273</v>
      </c>
      <c r="I293" s="27" t="str">
        <f aca="false">IF(COUNTIF(Cash_Book!$G$6:$G$304,C293)=0,"Not in books","In books")</f>
        <v>In books</v>
      </c>
    </row>
    <row r="294" customFormat="false" ht="15" hidden="false" customHeight="false" outlineLevel="0" collapsed="false">
      <c r="A294" s="41" t="n">
        <v>46290</v>
      </c>
      <c r="B294" s="45" t="s">
        <v>1564</v>
      </c>
      <c r="C294" s="5" t="s">
        <v>1248</v>
      </c>
      <c r="D294" s="43" t="n">
        <v>3997000</v>
      </c>
      <c r="E294" s="43"/>
      <c r="F294" s="44" t="n">
        <f aca="false">N(E294)-N(D294)</f>
        <v>-3997000</v>
      </c>
      <c r="G294" s="29" t="n">
        <f aca="false">Setup!$B$8+SUM($F$6:F294)</f>
        <v>1916834</v>
      </c>
      <c r="H294" s="45" t="s">
        <v>1275</v>
      </c>
      <c r="I294" s="27" t="str">
        <f aca="false">IF(COUNTIF(Cash_Book!$G$6:$G$304,C294)=0,"Not in books","In books")</f>
        <v>In books</v>
      </c>
    </row>
    <row r="295" customFormat="false" ht="15" hidden="false" customHeight="false" outlineLevel="0" collapsed="false">
      <c r="A295" s="41" t="n">
        <v>46290</v>
      </c>
      <c r="B295" s="45" t="s">
        <v>1565</v>
      </c>
      <c r="C295" s="5" t="s">
        <v>865</v>
      </c>
      <c r="D295" s="43"/>
      <c r="E295" s="43" t="n">
        <v>79857</v>
      </c>
      <c r="F295" s="44" t="n">
        <f aca="false">N(E295)-N(D295)</f>
        <v>79857</v>
      </c>
      <c r="G295" s="29" t="n">
        <f aca="false">Setup!$B$8+SUM($F$6:F295)</f>
        <v>1996691</v>
      </c>
      <c r="H295" s="45" t="s">
        <v>1273</v>
      </c>
      <c r="I295" s="27" t="str">
        <f aca="false">IF(COUNTIF(Cash_Book!$G$6:$G$304,C295)=0,"Not in books","In books")</f>
        <v>In books</v>
      </c>
    </row>
    <row r="296" customFormat="false" ht="15" hidden="false" customHeight="false" outlineLevel="0" collapsed="false">
      <c r="A296" s="41" t="n">
        <v>46290</v>
      </c>
      <c r="B296" s="45" t="s">
        <v>1566</v>
      </c>
      <c r="C296" s="5" t="s">
        <v>867</v>
      </c>
      <c r="D296" s="43"/>
      <c r="E296" s="43" t="n">
        <v>397096</v>
      </c>
      <c r="F296" s="44" t="n">
        <f aca="false">N(E296)-N(D296)</f>
        <v>397096</v>
      </c>
      <c r="G296" s="29" t="n">
        <f aca="false">Setup!$B$8+SUM($F$6:F296)</f>
        <v>2393787</v>
      </c>
      <c r="H296" s="45" t="s">
        <v>1273</v>
      </c>
      <c r="I296" s="27" t="str">
        <f aca="false">IF(COUNTIF(Cash_Book!$G$6:$G$304,C296)=0,"Not in books","In books")</f>
        <v>In books</v>
      </c>
    </row>
    <row r="297" customFormat="false" ht="15" hidden="false" customHeight="false" outlineLevel="0" collapsed="false">
      <c r="A297" s="41" t="n">
        <v>46291</v>
      </c>
      <c r="B297" s="45" t="s">
        <v>1567</v>
      </c>
      <c r="C297" s="5" t="s">
        <v>871</v>
      </c>
      <c r="D297" s="43"/>
      <c r="E297" s="43" t="n">
        <v>103664</v>
      </c>
      <c r="F297" s="44" t="n">
        <f aca="false">N(E297)-N(D297)</f>
        <v>103664</v>
      </c>
      <c r="G297" s="29" t="n">
        <f aca="false">Setup!$B$8+SUM($F$6:F297)</f>
        <v>2497451</v>
      </c>
      <c r="H297" s="45" t="s">
        <v>1273</v>
      </c>
      <c r="I297" s="27" t="str">
        <f aca="false">IF(COUNTIF(Cash_Book!$G$6:$G$304,C297)=0,"Not in books","In books")</f>
        <v>In books</v>
      </c>
    </row>
    <row r="298" customFormat="false" ht="15" hidden="false" customHeight="false" outlineLevel="0" collapsed="false">
      <c r="A298" s="41" t="n">
        <v>46291</v>
      </c>
      <c r="B298" s="45" t="s">
        <v>1568</v>
      </c>
      <c r="C298" s="5" t="s">
        <v>1569</v>
      </c>
      <c r="D298" s="43"/>
      <c r="E298" s="43" t="n">
        <v>185000</v>
      </c>
      <c r="F298" s="44" t="n">
        <f aca="false">N(E298)-N(D298)</f>
        <v>185000</v>
      </c>
      <c r="G298" s="29" t="n">
        <f aca="false">Setup!$B$8+SUM($F$6:F298)</f>
        <v>2682451</v>
      </c>
      <c r="H298" s="45" t="s">
        <v>1570</v>
      </c>
      <c r="I298" s="27" t="str">
        <f aca="false">IF(COUNTIF(Cash_Book!$G$6:$G$304,C298)=0,"Not in books","In books")</f>
        <v>Not in books</v>
      </c>
    </row>
    <row r="299" customFormat="false" ht="15" hidden="false" customHeight="false" outlineLevel="0" collapsed="false">
      <c r="A299" s="41" t="n">
        <v>46292</v>
      </c>
      <c r="B299" s="45" t="s">
        <v>1571</v>
      </c>
      <c r="C299" s="5" t="s">
        <v>869</v>
      </c>
      <c r="D299" s="43"/>
      <c r="E299" s="43" t="n">
        <v>214287</v>
      </c>
      <c r="F299" s="44" t="n">
        <f aca="false">N(E299)-N(D299)</f>
        <v>214287</v>
      </c>
      <c r="G299" s="29" t="n">
        <f aca="false">Setup!$B$8+SUM($F$6:F299)</f>
        <v>2896738</v>
      </c>
      <c r="H299" s="45" t="s">
        <v>1273</v>
      </c>
      <c r="I299" s="27" t="str">
        <f aca="false">IF(COUNTIF(Cash_Book!$G$6:$G$304,C299)=0,"Not in books","In books")</f>
        <v>In books</v>
      </c>
    </row>
    <row r="300" customFormat="false" ht="15" hidden="false" customHeight="false" outlineLevel="0" collapsed="false">
      <c r="A300" s="41" t="n">
        <v>46293</v>
      </c>
      <c r="B300" s="45" t="s">
        <v>1572</v>
      </c>
      <c r="C300" s="5" t="s">
        <v>873</v>
      </c>
      <c r="D300" s="43"/>
      <c r="E300" s="43" t="n">
        <v>124765</v>
      </c>
      <c r="F300" s="44" t="n">
        <f aca="false">N(E300)-N(D300)</f>
        <v>124765</v>
      </c>
      <c r="G300" s="29" t="n">
        <f aca="false">Setup!$B$8+SUM($F$6:F300)</f>
        <v>3021503</v>
      </c>
      <c r="H300" s="45" t="s">
        <v>1273</v>
      </c>
      <c r="I300" s="27" t="str">
        <f aca="false">IF(COUNTIF(Cash_Book!$G$6:$G$304,C300)=0,"Not in books","In books")</f>
        <v>In books</v>
      </c>
    </row>
    <row r="301" customFormat="false" ht="15" hidden="false" customHeight="false" outlineLevel="0" collapsed="false">
      <c r="A301" s="41" t="n">
        <v>46293</v>
      </c>
      <c r="B301" s="45" t="s">
        <v>1573</v>
      </c>
      <c r="C301" s="5" t="s">
        <v>875</v>
      </c>
      <c r="D301" s="43"/>
      <c r="E301" s="43" t="n">
        <v>24471</v>
      </c>
      <c r="F301" s="44" t="n">
        <f aca="false">N(E301)-N(D301)</f>
        <v>24471</v>
      </c>
      <c r="G301" s="29" t="n">
        <f aca="false">Setup!$B$8+SUM($F$6:F301)</f>
        <v>3045974</v>
      </c>
      <c r="H301" s="45" t="s">
        <v>1273</v>
      </c>
      <c r="I301" s="27" t="str">
        <f aca="false">IF(COUNTIF(Cash_Book!$G$6:$G$304,C301)=0,"Not in books","In books")</f>
        <v>In books</v>
      </c>
    </row>
    <row r="302" customFormat="false" ht="15" hidden="false" customHeight="false" outlineLevel="0" collapsed="false">
      <c r="A302" s="41" t="n">
        <v>46295</v>
      </c>
      <c r="B302" s="45" t="s">
        <v>1574</v>
      </c>
      <c r="C302" s="5" t="s">
        <v>1575</v>
      </c>
      <c r="D302" s="43"/>
      <c r="E302" s="43" t="n">
        <v>3865</v>
      </c>
      <c r="F302" s="44" t="n">
        <f aca="false">N(E302)-N(D302)</f>
        <v>3865</v>
      </c>
      <c r="G302" s="29" t="n">
        <f aca="false">Setup!$B$8+SUM($F$6:F302)</f>
        <v>3049839</v>
      </c>
      <c r="H302" s="45" t="s">
        <v>1410</v>
      </c>
      <c r="I302" s="27" t="str">
        <f aca="false">IF(COUNTIF(Cash_Book!$G$6:$G$304,C302)=0,"Not in books","In books")</f>
        <v>Not in books</v>
      </c>
    </row>
    <row r="303" customFormat="false" ht="15" hidden="false" customHeight="false" outlineLevel="0" collapsed="false">
      <c r="A303" s="41" t="n">
        <v>46295</v>
      </c>
      <c r="B303" s="45" t="s">
        <v>1576</v>
      </c>
      <c r="C303" s="5" t="s">
        <v>1577</v>
      </c>
      <c r="D303" s="43" t="n">
        <v>648</v>
      </c>
      <c r="E303" s="43"/>
      <c r="F303" s="44" t="n">
        <f aca="false">N(E303)-N(D303)</f>
        <v>-648</v>
      </c>
      <c r="G303" s="29" t="n">
        <f aca="false">Setup!$B$8+SUM($F$6:F303)</f>
        <v>3049191</v>
      </c>
      <c r="H303" s="45" t="s">
        <v>1308</v>
      </c>
      <c r="I303" s="27" t="str">
        <f aca="false">IF(COUNTIF(Cash_Book!$G$6:$G$304,C303)=0,"Not in books","In books")</f>
        <v>Not in books</v>
      </c>
    </row>
  </sheetData>
  <autoFilter ref="A5:I303"/>
  <conditionalFormatting sqref="I6:I303">
    <cfRule type="expression" priority="2" aboveAverage="0" equalAverage="0" bottom="0" percent="0" rank="0" text="" dxfId="9">
      <formula>I6="Not in books"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78"/>
    <col collapsed="false" customWidth="true" hidden="false" outlineLevel="0" max="5" min="5" style="0" width="3"/>
  </cols>
  <sheetData>
    <row r="1" customFormat="false" ht="17.35" hidden="false" customHeight="false" outlineLevel="0" collapsed="false">
      <c r="A1" s="15" t="s">
        <v>1578</v>
      </c>
    </row>
    <row r="2" customFormat="false" ht="15" hidden="false" customHeight="false" outlineLevel="0" collapsed="false">
      <c r="A2" s="16" t="s">
        <v>1579</v>
      </c>
    </row>
    <row r="3" customFormat="false" ht="15" hidden="false" customHeight="false" outlineLevel="0" collapsed="false">
      <c r="A3" s="4" t="s">
        <v>1580</v>
      </c>
      <c r="B3" s="46" t="n">
        <f aca="false">Setup!$B$5</f>
        <v>46295</v>
      </c>
    </row>
    <row r="5" customFormat="false" ht="15" hidden="false" customHeight="false" outlineLevel="0" collapsed="false">
      <c r="A5" s="6"/>
      <c r="B5" s="6" t="s">
        <v>1581</v>
      </c>
      <c r="C5" s="6" t="s">
        <v>1582</v>
      </c>
    </row>
    <row r="6" customFormat="false" ht="15" hidden="false" customHeight="false" outlineLevel="0" collapsed="false">
      <c r="A6" s="17" t="s">
        <v>1583</v>
      </c>
      <c r="B6" s="22" t="n">
        <f aca="false">Setup!$B$7+SUM(Cash_Book!$F$6:$F$304)</f>
        <v>3093167</v>
      </c>
      <c r="C6" s="38" t="s">
        <v>1584</v>
      </c>
    </row>
    <row r="7" customFormat="false" ht="15" hidden="false" customHeight="false" outlineLevel="0" collapsed="false">
      <c r="A7" s="4" t="s">
        <v>1585</v>
      </c>
      <c r="B7" s="29" t="n">
        <f aca="false">-SUMIFS(Cash_Book!$F$6:$F$304,Cash_Book!$J$6:$J$304,"Not in bank",Cash_Book!$F$6:$F$304,"&gt;0")</f>
        <v>-426321</v>
      </c>
      <c r="C7" s="38" t="s">
        <v>1586</v>
      </c>
    </row>
    <row r="8" customFormat="false" ht="15" hidden="false" customHeight="false" outlineLevel="0" collapsed="false">
      <c r="A8" s="4" t="s">
        <v>1587</v>
      </c>
      <c r="B8" s="29" t="n">
        <f aca="false">-SUMIFS(Cash_Book!$F$6:$F$304,Cash_Book!$J$6:$J$304,"Not in bank",Cash_Book!$F$6:$F$304,"&lt;0")</f>
        <v>193700</v>
      </c>
      <c r="C8" s="38" t="s">
        <v>1588</v>
      </c>
    </row>
    <row r="9" customFormat="false" ht="15" hidden="false" customHeight="false" outlineLevel="0" collapsed="false">
      <c r="A9" s="4" t="s">
        <v>1589</v>
      </c>
      <c r="B9" s="29" t="n">
        <f aca="false">SUMIFS(Cash_Book!$I$6:$I$304,Cash_Book!$J$6:$J$304,"Amount difference")</f>
        <v>782</v>
      </c>
      <c r="C9" s="38" t="s">
        <v>1590</v>
      </c>
    </row>
    <row r="10" customFormat="false" ht="15" hidden="false" customHeight="false" outlineLevel="0" collapsed="false">
      <c r="A10" s="4" t="s">
        <v>1591</v>
      </c>
      <c r="B10" s="29" t="n">
        <f aca="false">SUMIFS(Bank_Statement!$F$6:$F$303,Bank_Statement!$I$6:$I$303,"Not in books",Bank_Statement!$F$6:$F$303,"&gt;0")</f>
        <v>188865</v>
      </c>
      <c r="C10" s="38" t="s">
        <v>1592</v>
      </c>
    </row>
    <row r="11" customFormat="false" ht="15" hidden="false" customHeight="false" outlineLevel="0" collapsed="false">
      <c r="A11" s="4" t="s">
        <v>1593</v>
      </c>
      <c r="B11" s="29" t="n">
        <f aca="false">SUMIFS(Bank_Statement!$F$6:$F$303,Bank_Statement!$I$6:$I$303,"Not in books",Bank_Statement!$F$6:$F$303,"&lt;0")</f>
        <v>-1002</v>
      </c>
      <c r="C11" s="38" t="s">
        <v>1594</v>
      </c>
    </row>
    <row r="12" customFormat="false" ht="15" hidden="false" customHeight="false" outlineLevel="0" collapsed="false">
      <c r="A12" s="17" t="s">
        <v>1595</v>
      </c>
      <c r="B12" s="32" t="n">
        <f aca="false">SUM(B6:B11)</f>
        <v>3049191</v>
      </c>
      <c r="C12" s="38"/>
    </row>
    <row r="13" customFormat="false" ht="15" hidden="false" customHeight="false" outlineLevel="0" collapsed="false">
      <c r="A13" s="17" t="s">
        <v>1596</v>
      </c>
      <c r="B13" s="22" t="n">
        <f aca="false">Bank_Statement!G303</f>
        <v>3049191</v>
      </c>
      <c r="C13" s="38" t="s">
        <v>1597</v>
      </c>
    </row>
    <row r="14" customFormat="false" ht="15" hidden="false" customHeight="false" outlineLevel="0" collapsed="false">
      <c r="A14" s="17" t="s">
        <v>1598</v>
      </c>
      <c r="B14" s="32" t="n">
        <f aca="false">ROUND(B12-B13,2)</f>
        <v>0</v>
      </c>
      <c r="C14" s="38"/>
    </row>
    <row r="16" customFormat="false" ht="15" hidden="false" customHeight="false" outlineLevel="0" collapsed="false">
      <c r="A16" s="9" t="s">
        <v>1599</v>
      </c>
      <c r="B16" s="10"/>
      <c r="C16" s="10"/>
      <c r="D16" s="10"/>
      <c r="E16" s="10"/>
    </row>
    <row r="17" customFormat="false" ht="15" hidden="false" customHeight="false" outlineLevel="0" collapsed="false">
      <c r="A17" s="6" t="s">
        <v>884</v>
      </c>
      <c r="B17" s="6" t="s">
        <v>1600</v>
      </c>
      <c r="C17" s="6" t="s">
        <v>1601</v>
      </c>
      <c r="D17" s="6" t="s">
        <v>1602</v>
      </c>
    </row>
    <row r="18" customFormat="false" ht="15" hidden="false" customHeight="false" outlineLevel="0" collapsed="false">
      <c r="A18" s="8" t="s">
        <v>1603</v>
      </c>
      <c r="B18" s="31" t="n">
        <f aca="false">COUNTIF(Cash_Book!$J$6:$J$304,"Matched")</f>
        <v>292</v>
      </c>
      <c r="C18" s="29" t="n">
        <f aca="false">SUMIFS(Cash_Book!$F$6:$F$304,Cash_Book!$J$6:$J$304,"Matched")</f>
        <v>1440808</v>
      </c>
      <c r="D18" s="47" t="s">
        <v>1604</v>
      </c>
    </row>
    <row r="19" customFormat="false" ht="15" hidden="false" customHeight="false" outlineLevel="0" collapsed="false">
      <c r="A19" s="8" t="s">
        <v>1605</v>
      </c>
      <c r="B19" s="31" t="n">
        <f aca="false">COUNTIF(Cash_Book!$J$6:$J$304,"Amount difference")</f>
        <v>2</v>
      </c>
      <c r="C19" s="29" t="n">
        <f aca="false">SUMIFS(Cash_Book!$I$6:$I$304,Cash_Book!$J$6:$J$304,"Amount difference")</f>
        <v>782</v>
      </c>
      <c r="D19" s="47" t="s">
        <v>1606</v>
      </c>
    </row>
    <row r="20" customFormat="false" ht="15" hidden="false" customHeight="false" outlineLevel="0" collapsed="false">
      <c r="A20" s="8" t="s">
        <v>1607</v>
      </c>
      <c r="B20" s="31" t="n">
        <f aca="false">COUNTIFS(Cash_Book!$J$6:$J$304,"Not in bank",Cash_Book!$F$6:$F$304,"&gt;0")</f>
        <v>2</v>
      </c>
      <c r="C20" s="29" t="n">
        <f aca="false">SUMIFS(Cash_Book!$F$6:$F$304,Cash_Book!$J$6:$J$304,"Not in bank",Cash_Book!$F$6:$F$304,"&gt;0")</f>
        <v>426321</v>
      </c>
      <c r="D20" s="47" t="s">
        <v>1608</v>
      </c>
    </row>
    <row r="21" customFormat="false" ht="15" hidden="false" customHeight="false" outlineLevel="0" collapsed="false">
      <c r="A21" s="8" t="s">
        <v>1609</v>
      </c>
      <c r="B21" s="31" t="n">
        <f aca="false">COUNTIFS(Cash_Book!$J$6:$J$304,"Not in bank",Cash_Book!$F$6:$F$304,"&lt;0")</f>
        <v>3</v>
      </c>
      <c r="C21" s="29" t="n">
        <f aca="false">SUMIFS(Cash_Book!$F$6:$F$304,Cash_Book!$J$6:$J$304,"Not in bank",Cash_Book!$F$6:$F$304,"&lt;0")</f>
        <v>-193700</v>
      </c>
      <c r="D21" s="47" t="s">
        <v>1610</v>
      </c>
    </row>
    <row r="22" customFormat="false" ht="15" hidden="false" customHeight="false" outlineLevel="0" collapsed="false">
      <c r="A22" s="8" t="s">
        <v>1611</v>
      </c>
      <c r="B22" s="31" t="n">
        <f aca="false">COUNTIFS(Bank_Statement!$I$6:$I$303,"Not in books",Bank_Statement!$F$6:$F$303,"&gt;0")</f>
        <v>2</v>
      </c>
      <c r="C22" s="29" t="n">
        <f aca="false">SUMIFS(Bank_Statement!$F$6:$F$303,Bank_Statement!$I$6:$I$303,"Not in books",Bank_Statement!$F$6:$F$303,"&gt;0")</f>
        <v>188865</v>
      </c>
      <c r="D22" s="47" t="s">
        <v>1612</v>
      </c>
    </row>
    <row r="23" customFormat="false" ht="15" hidden="false" customHeight="false" outlineLevel="0" collapsed="false">
      <c r="A23" s="8" t="s">
        <v>1613</v>
      </c>
      <c r="B23" s="31" t="n">
        <f aca="false">COUNTIFS(Bank_Statement!$I$6:$I$303,"Not in books",Bank_Statement!$F$6:$F$303,"&lt;0")</f>
        <v>2</v>
      </c>
      <c r="C23" s="29" t="n">
        <f aca="false">SUMIFS(Bank_Statement!$F$6:$F$303,Bank_Statement!$I$6:$I$303,"Not in books",Bank_Statement!$F$6:$F$303,"&lt;0")</f>
        <v>-1002</v>
      </c>
      <c r="D23" s="47" t="s">
        <v>1614</v>
      </c>
    </row>
    <row r="24" customFormat="false" ht="15" hidden="false" customHeight="false" outlineLevel="0" collapsed="false">
      <c r="A24" s="17" t="s">
        <v>1615</v>
      </c>
      <c r="B24" s="48" t="n">
        <f aca="false">SUM(B19:B23)</f>
        <v>11</v>
      </c>
    </row>
    <row r="26" customFormat="false" ht="15" hidden="false" customHeight="false" outlineLevel="0" collapsed="false">
      <c r="A26" s="9" t="s">
        <v>1616</v>
      </c>
      <c r="B26" s="10"/>
      <c r="C26" s="10"/>
      <c r="D26" s="10"/>
      <c r="E26" s="10"/>
    </row>
    <row r="27" customFormat="false" ht="15" hidden="false" customHeight="false" outlineLevel="0" collapsed="false">
      <c r="A27" s="6" t="s">
        <v>1617</v>
      </c>
      <c r="B27" s="6" t="s">
        <v>1618</v>
      </c>
      <c r="C27" s="6" t="s">
        <v>1619</v>
      </c>
      <c r="D27" s="6" t="s">
        <v>114</v>
      </c>
    </row>
    <row r="28" customFormat="false" ht="15" hidden="false" customHeight="false" outlineLevel="0" collapsed="false">
      <c r="A28" s="8" t="s">
        <v>1620</v>
      </c>
      <c r="B28" s="8" t="s">
        <v>1308</v>
      </c>
      <c r="C28" s="8" t="s">
        <v>1621</v>
      </c>
      <c r="D28" s="29" t="n">
        <f aca="false">-SUMIFS(Bank_Statement!$F$6:$F$303,Bank_Statement!$I$6:$I$303,"Not in books",Bank_Statement!$H$6:$H$303,"Bank charges")-SUMIFS(Bank_Statement!$F$6:$F$303,Bank_Statement!$I$6:$I$303,"Not in books",Bank_Statement!$H$6:$H$303,"Cheque return charges")</f>
        <v>1002</v>
      </c>
    </row>
    <row r="29" customFormat="false" ht="15" hidden="false" customHeight="false" outlineLevel="0" collapsed="false">
      <c r="A29" s="8" t="s">
        <v>1622</v>
      </c>
      <c r="B29" s="8" t="s">
        <v>1621</v>
      </c>
      <c r="C29" s="8" t="s">
        <v>1623</v>
      </c>
      <c r="D29" s="29" t="n">
        <f aca="false">SUMIFS(Bank_Statement!$F$6:$F$303,Bank_Statement!$I$6:$I$303,"Not in books",Bank_Statement!$H$6:$H$303,"Interest")</f>
        <v>3865</v>
      </c>
    </row>
    <row r="30" customFormat="false" ht="15" hidden="false" customHeight="false" outlineLevel="0" collapsed="false">
      <c r="A30" s="8" t="s">
        <v>1624</v>
      </c>
      <c r="B30" s="8" t="s">
        <v>1621</v>
      </c>
      <c r="C30" s="8" t="s">
        <v>1625</v>
      </c>
      <c r="D30" s="29" t="n">
        <f aca="false">SUMIFS(Bank_Statement!$F$6:$F$303,Bank_Statement!$I$6:$I$303,"Not in books",Bank_Statement!$H$6:$H$303,"Unidentified credit")</f>
        <v>185000</v>
      </c>
    </row>
    <row r="32" customFormat="false" ht="15" hidden="false" customHeight="false" outlineLevel="0" collapsed="false">
      <c r="A32" s="16" t="s">
        <v>1626</v>
      </c>
    </row>
  </sheetData>
  <conditionalFormatting sqref="B14">
    <cfRule type="expression" priority="2" aboveAverage="0" equalAverage="0" bottom="0" percent="0" rank="0" text="" dxfId="8">
      <formula>B14&lt;&gt;0</formula>
    </cfRule>
    <cfRule type="expression" priority="3" aboveAverage="0" equalAverage="0" bottom="0" percent="0" rank="0" text="" dxfId="11">
      <formula>B14=0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9" min="7" style="0" width="13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5" t="s">
        <v>1627</v>
      </c>
    </row>
    <row r="2" customFormat="false" ht="15" hidden="false" customHeight="false" outlineLevel="0" collapsed="false">
      <c r="A2" s="16" t="s">
        <v>1628</v>
      </c>
    </row>
    <row r="3" customFormat="false" ht="15" hidden="false" customHeight="false" outlineLevel="0" collapsed="false">
      <c r="A3" s="9" t="s">
        <v>1629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customFormat="false" ht="23.85" hidden="false" customHeight="false" outlineLevel="0" collapsed="false">
      <c r="A4" s="6" t="s">
        <v>1630</v>
      </c>
      <c r="B4" s="6" t="s">
        <v>114</v>
      </c>
      <c r="C4" s="6" t="s">
        <v>1631</v>
      </c>
      <c r="D4" s="6" t="s">
        <v>1632</v>
      </c>
    </row>
    <row r="5" customFormat="false" ht="15" hidden="false" customHeight="false" outlineLevel="0" collapsed="false">
      <c r="A5" s="8" t="s">
        <v>1633</v>
      </c>
      <c r="B5" s="29" t="n">
        <f aca="false">SUMIFS(Sales_Ledger!$I$6:$I$285,Sales_Ledger!$K$6:$K$285,A5)</f>
        <v>10689934</v>
      </c>
      <c r="C5" s="30" t="n">
        <f aca="false">IF($B$10=0,0,B5/$B$10)</f>
        <v>0.638241975803972</v>
      </c>
      <c r="D5" s="31" t="n">
        <f aca="false">COUNTIFS(Sales_Ledger!$K$6:$K$285,A5)</f>
        <v>44</v>
      </c>
    </row>
    <row r="6" customFormat="false" ht="15" hidden="false" customHeight="false" outlineLevel="0" collapsed="false">
      <c r="A6" s="8" t="s">
        <v>1634</v>
      </c>
      <c r="B6" s="29" t="n">
        <f aca="false">SUMIFS(Sales_Ledger!$I$6:$I$285,Sales_Ledger!$K$6:$K$285,A6)</f>
        <v>3674046</v>
      </c>
      <c r="C6" s="30" t="n">
        <f aca="false">IF($B$10=0,0,B6/$B$10)</f>
        <v>0.219358733013195</v>
      </c>
      <c r="D6" s="31" t="n">
        <f aca="false">COUNTIFS(Sales_Ledger!$K$6:$K$285,A6)</f>
        <v>18</v>
      </c>
    </row>
    <row r="7" customFormat="false" ht="15" hidden="false" customHeight="false" outlineLevel="0" collapsed="false">
      <c r="A7" s="8" t="s">
        <v>1635</v>
      </c>
      <c r="B7" s="29" t="n">
        <f aca="false">SUMIFS(Sales_Ledger!$I$6:$I$285,Sales_Ledger!$K$6:$K$285,A7)</f>
        <v>826290</v>
      </c>
      <c r="C7" s="30" t="n">
        <f aca="false">IF($B$10=0,0,B7/$B$10)</f>
        <v>0.0493336031997077</v>
      </c>
      <c r="D7" s="31" t="n">
        <f aca="false">COUNTIFS(Sales_Ledger!$K$6:$K$285,A7)</f>
        <v>5</v>
      </c>
    </row>
    <row r="8" customFormat="false" ht="15" hidden="false" customHeight="false" outlineLevel="0" collapsed="false">
      <c r="A8" s="8" t="s">
        <v>1636</v>
      </c>
      <c r="B8" s="29" t="n">
        <f aca="false">SUMIFS(Sales_Ledger!$I$6:$I$285,Sales_Ledger!$K$6:$K$285,A8)</f>
        <v>4228</v>
      </c>
      <c r="C8" s="30" t="n">
        <f aca="false">IF($B$10=0,0,B8/$B$10)</f>
        <v>0.000252432528928541</v>
      </c>
      <c r="D8" s="31" t="n">
        <f aca="false">COUNTIFS(Sales_Ledger!$K$6:$K$285,A8)</f>
        <v>2</v>
      </c>
    </row>
    <row r="9" customFormat="false" ht="15" hidden="false" customHeight="false" outlineLevel="0" collapsed="false">
      <c r="A9" s="8" t="s">
        <v>1637</v>
      </c>
      <c r="B9" s="29" t="n">
        <f aca="false">SUMIFS(Sales_Ledger!$I$6:$I$285,Sales_Ledger!$K$6:$K$285,A9)</f>
        <v>1554532</v>
      </c>
      <c r="C9" s="30" t="n">
        <f aca="false">IF($B$10=0,0,B9/$B$10)</f>
        <v>0.0928132554541965</v>
      </c>
      <c r="D9" s="31" t="n">
        <f aca="false">COUNTIFS(Sales_Ledger!$K$6:$K$285,A9)</f>
        <v>13</v>
      </c>
    </row>
    <row r="10" customFormat="false" ht="15" hidden="false" customHeight="false" outlineLevel="0" collapsed="false">
      <c r="A10" s="17" t="s">
        <v>1638</v>
      </c>
      <c r="B10" s="32" t="n">
        <f aca="false">SUM(B5:B9)</f>
        <v>16749030</v>
      </c>
      <c r="D10" s="34" t="n">
        <f aca="false">SUM(D5:D9)</f>
        <v>82</v>
      </c>
    </row>
    <row r="12" customFormat="false" ht="15" hidden="false" customHeight="false" outlineLevel="0" collapsed="false">
      <c r="A12" s="4" t="s">
        <v>1639</v>
      </c>
      <c r="B12" s="29" t="n">
        <f aca="false">SUMIFS(Sales_Ledger!$E$6:$E$285,Sales_Ledger!$B$6:$B$285,"&gt;="&amp;Setup!$B$6,Sales_Ledger!$B$6:$B$285,"&lt;="&amp;Setup!$B$5)</f>
        <v>62032522</v>
      </c>
    </row>
    <row r="13" customFormat="false" ht="15" hidden="false" customHeight="false" outlineLevel="0" collapsed="false">
      <c r="A13" s="4" t="s">
        <v>1640</v>
      </c>
      <c r="B13" s="31" t="n">
        <f aca="false">Setup!$B$5-Setup!$B$6+1</f>
        <v>183</v>
      </c>
    </row>
    <row r="14" customFormat="false" ht="15" hidden="false" customHeight="false" outlineLevel="0" collapsed="false">
      <c r="A14" s="4" t="s">
        <v>58</v>
      </c>
      <c r="B14" s="49" t="n">
        <f aca="false">IF(B12=0,0,B10/B12*B13)</f>
        <v>49.4107347433013</v>
      </c>
      <c r="C14" s="38" t="s">
        <v>1641</v>
      </c>
    </row>
    <row r="16" customFormat="false" ht="15" hidden="false" customHeight="false" outlineLevel="0" collapsed="false">
      <c r="A16" s="9" t="s">
        <v>1642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customFormat="false" ht="30" hidden="false" customHeight="true" outlineLevel="0" collapsed="false">
      <c r="A17" s="6" t="s">
        <v>69</v>
      </c>
      <c r="B17" s="6" t="s">
        <v>72</v>
      </c>
      <c r="C17" s="6" t="s">
        <v>73</v>
      </c>
      <c r="D17" s="6" t="s">
        <v>1643</v>
      </c>
      <c r="E17" s="6" t="s">
        <v>70</v>
      </c>
      <c r="F17" s="6" t="s">
        <v>1633</v>
      </c>
      <c r="G17" s="6" t="s">
        <v>1634</v>
      </c>
      <c r="H17" s="6" t="s">
        <v>1635</v>
      </c>
      <c r="I17" s="6" t="s">
        <v>1636</v>
      </c>
      <c r="J17" s="6" t="s">
        <v>1637</v>
      </c>
      <c r="K17" s="6" t="s">
        <v>74</v>
      </c>
    </row>
    <row r="18" customFormat="false" ht="15" hidden="false" customHeight="false" outlineLevel="0" collapsed="false">
      <c r="A18" s="27" t="str">
        <f aca="false">Setup!A13</f>
        <v>Hooghly Foods, Kolkata</v>
      </c>
      <c r="B18" s="27" t="str">
        <f aca="false">Setup!B13</f>
        <v>East</v>
      </c>
      <c r="C18" s="29" t="n">
        <f aca="false">SUMIFS(Sales_Ledger!$E$6:$E$285,Sales_Ledger!$C$6:$C$285,$A18)</f>
        <v>7733653</v>
      </c>
      <c r="D18" s="29" t="n">
        <f aca="false">SUMIFS(Sales_Ledger!$H$6:$H$285,Sales_Ledger!$C$6:$C$285,$A18)</f>
        <v>6500099</v>
      </c>
      <c r="E18" s="44" t="n">
        <f aca="false">C18-D18</f>
        <v>1233554</v>
      </c>
      <c r="F18" s="29" t="n">
        <f aca="false">SUMIFS(Sales_Ledger!$I$6:$I$285,Sales_Ledger!$C$6:$C$285,$A18,Sales_Ledger!$K$6:$K$285,F$17)</f>
        <v>826580</v>
      </c>
      <c r="G18" s="29" t="n">
        <f aca="false">SUMIFS(Sales_Ledger!$I$6:$I$285,Sales_Ledger!$C$6:$C$285,$A18,Sales_Ledger!$K$6:$K$285,G$17)</f>
        <v>406974</v>
      </c>
      <c r="H18" s="29" t="n">
        <f aca="false">SUMIFS(Sales_Ledger!$I$6:$I$285,Sales_Ledger!$C$6:$C$285,$A18,Sales_Ledger!$K$6:$K$285,H$17)</f>
        <v>0</v>
      </c>
      <c r="I18" s="29" t="n">
        <f aca="false">SUMIFS(Sales_Ledger!$I$6:$I$285,Sales_Ledger!$C$6:$C$285,$A18,Sales_Ledger!$K$6:$K$285,I$17)</f>
        <v>0</v>
      </c>
      <c r="J18" s="29" t="n">
        <f aca="false">SUMIFS(Sales_Ledger!$I$6:$I$285,Sales_Ledger!$C$6:$C$285,$A18,Sales_Ledger!$K$6:$K$285,J$17)</f>
        <v>0</v>
      </c>
      <c r="K18" s="30" t="n">
        <f aca="false">IF(E18=0,0,(E18-F18)/E18)</f>
        <v>0.329919890008869</v>
      </c>
    </row>
    <row r="19" customFormat="false" ht="15" hidden="false" customHeight="false" outlineLevel="0" collapsed="false">
      <c r="A19" s="27" t="str">
        <f aca="false">Setup!A14</f>
        <v>Brahmaputra Traders, Guwahati</v>
      </c>
      <c r="B19" s="27" t="str">
        <f aca="false">Setup!B14</f>
        <v>East</v>
      </c>
      <c r="C19" s="29" t="n">
        <f aca="false">SUMIFS(Sales_Ledger!$E$6:$E$285,Sales_Ledger!$C$6:$C$285,$A19)</f>
        <v>4643892</v>
      </c>
      <c r="D19" s="29" t="n">
        <f aca="false">SUMIFS(Sales_Ledger!$H$6:$H$285,Sales_Ledger!$C$6:$C$285,$A19)</f>
        <v>4106564</v>
      </c>
      <c r="E19" s="44" t="n">
        <f aca="false">C19-D19</f>
        <v>537328</v>
      </c>
      <c r="F19" s="29" t="n">
        <f aca="false">SUMIFS(Sales_Ledger!$I$6:$I$285,Sales_Ledger!$C$6:$C$285,$A19,Sales_Ledger!$K$6:$K$285,F$17)</f>
        <v>123903</v>
      </c>
      <c r="G19" s="29" t="n">
        <f aca="false">SUMIFS(Sales_Ledger!$I$6:$I$285,Sales_Ledger!$C$6:$C$285,$A19,Sales_Ledger!$K$6:$K$285,G$17)</f>
        <v>408782</v>
      </c>
      <c r="H19" s="29" t="n">
        <f aca="false">SUMIFS(Sales_Ledger!$I$6:$I$285,Sales_Ledger!$C$6:$C$285,$A19,Sales_Ledger!$K$6:$K$285,H$17)</f>
        <v>0</v>
      </c>
      <c r="I19" s="29" t="n">
        <f aca="false">SUMIFS(Sales_Ledger!$I$6:$I$285,Sales_Ledger!$C$6:$C$285,$A19,Sales_Ledger!$K$6:$K$285,I$17)</f>
        <v>0</v>
      </c>
      <c r="J19" s="29" t="n">
        <f aca="false">SUMIFS(Sales_Ledger!$I$6:$I$285,Sales_Ledger!$C$6:$C$285,$A19,Sales_Ledger!$K$6:$K$285,J$17)</f>
        <v>4643</v>
      </c>
      <c r="K19" s="30" t="n">
        <f aca="false">IF(E19=0,0,(E19-F19)/E19)</f>
        <v>0.76940900157818</v>
      </c>
    </row>
    <row r="20" customFormat="false" ht="15" hidden="false" customHeight="false" outlineLevel="0" collapsed="false">
      <c r="A20" s="27" t="str">
        <f aca="false">Setup!A15</f>
        <v>Magadh Agencies, Patna</v>
      </c>
      <c r="B20" s="27" t="str">
        <f aca="false">Setup!B15</f>
        <v>East</v>
      </c>
      <c r="C20" s="29" t="n">
        <f aca="false">SUMIFS(Sales_Ledger!$E$6:$E$285,Sales_Ledger!$C$6:$C$285,$A20)</f>
        <v>3794895</v>
      </c>
      <c r="D20" s="29" t="n">
        <f aca="false">SUMIFS(Sales_Ledger!$H$6:$H$285,Sales_Ledger!$C$6:$C$285,$A20)</f>
        <v>2929988</v>
      </c>
      <c r="E20" s="44" t="n">
        <f aca="false">C20-D20</f>
        <v>864907</v>
      </c>
      <c r="F20" s="29" t="n">
        <f aca="false">SUMIFS(Sales_Ledger!$I$6:$I$285,Sales_Ledger!$C$6:$C$285,$A20,Sales_Ledger!$K$6:$K$285,F$17)</f>
        <v>838609</v>
      </c>
      <c r="G20" s="29" t="n">
        <f aca="false">SUMIFS(Sales_Ledger!$I$6:$I$285,Sales_Ledger!$C$6:$C$285,$A20,Sales_Ledger!$K$6:$K$285,G$17)</f>
        <v>20438</v>
      </c>
      <c r="H20" s="29" t="n">
        <f aca="false">SUMIFS(Sales_Ledger!$I$6:$I$285,Sales_Ledger!$C$6:$C$285,$A20,Sales_Ledger!$K$6:$K$285,H$17)</f>
        <v>0</v>
      </c>
      <c r="I20" s="29" t="n">
        <f aca="false">SUMIFS(Sales_Ledger!$I$6:$I$285,Sales_Ledger!$C$6:$C$285,$A20,Sales_Ledger!$K$6:$K$285,I$17)</f>
        <v>0</v>
      </c>
      <c r="J20" s="29" t="n">
        <f aca="false">SUMIFS(Sales_Ledger!$I$6:$I$285,Sales_Ledger!$C$6:$C$285,$A20,Sales_Ledger!$K$6:$K$285,J$17)</f>
        <v>5860</v>
      </c>
      <c r="K20" s="30" t="n">
        <f aca="false">IF(E20=0,0,(E20-F20)/E20)</f>
        <v>0.030405581178092</v>
      </c>
    </row>
    <row r="21" customFormat="false" ht="15" hidden="false" customHeight="false" outlineLevel="0" collapsed="false">
      <c r="A21" s="27" t="str">
        <f aca="false">Setup!A16</f>
        <v>Konkan Distributors, Mumbai</v>
      </c>
      <c r="B21" s="27" t="str">
        <f aca="false">Setup!B16</f>
        <v>West</v>
      </c>
      <c r="C21" s="29" t="n">
        <f aca="false">SUMIFS(Sales_Ledger!$E$6:$E$285,Sales_Ledger!$C$6:$C$285,$A21)</f>
        <v>6340605</v>
      </c>
      <c r="D21" s="29" t="n">
        <f aca="false">SUMIFS(Sales_Ledger!$H$6:$H$285,Sales_Ledger!$C$6:$C$285,$A21)</f>
        <v>5558217</v>
      </c>
      <c r="E21" s="44" t="n">
        <f aca="false">C21-D21</f>
        <v>782388</v>
      </c>
      <c r="F21" s="29" t="n">
        <f aca="false">SUMIFS(Sales_Ledger!$I$6:$I$285,Sales_Ledger!$C$6:$C$285,$A21,Sales_Ledger!$K$6:$K$285,F$17)</f>
        <v>592501</v>
      </c>
      <c r="G21" s="29" t="n">
        <f aca="false">SUMIFS(Sales_Ledger!$I$6:$I$285,Sales_Ledger!$C$6:$C$285,$A21,Sales_Ledger!$K$6:$K$285,G$17)</f>
        <v>184435</v>
      </c>
      <c r="H21" s="29" t="n">
        <f aca="false">SUMIFS(Sales_Ledger!$I$6:$I$285,Sales_Ledger!$C$6:$C$285,$A21,Sales_Ledger!$K$6:$K$285,H$17)</f>
        <v>5452</v>
      </c>
      <c r="I21" s="29" t="n">
        <f aca="false">SUMIFS(Sales_Ledger!$I$6:$I$285,Sales_Ledger!$C$6:$C$285,$A21,Sales_Ledger!$K$6:$K$285,I$17)</f>
        <v>0</v>
      </c>
      <c r="J21" s="29" t="n">
        <f aca="false">SUMIFS(Sales_Ledger!$I$6:$I$285,Sales_Ledger!$C$6:$C$285,$A21,Sales_Ledger!$K$6:$K$285,J$17)</f>
        <v>0</v>
      </c>
      <c r="K21" s="30" t="n">
        <f aca="false">IF(E21=0,0,(E21-F21)/E21)</f>
        <v>0.242701830805176</v>
      </c>
    </row>
    <row r="22" customFormat="false" ht="15" hidden="false" customHeight="false" outlineLevel="0" collapsed="false">
      <c r="A22" s="27" t="str">
        <f aca="false">Setup!A17</f>
        <v>Narmada Foods, Surat</v>
      </c>
      <c r="B22" s="27" t="str">
        <f aca="false">Setup!B17</f>
        <v>West</v>
      </c>
      <c r="C22" s="29" t="n">
        <f aca="false">SUMIFS(Sales_Ledger!$E$6:$E$285,Sales_Ledger!$C$6:$C$285,$A22)</f>
        <v>4224659</v>
      </c>
      <c r="D22" s="29" t="n">
        <f aca="false">SUMIFS(Sales_Ledger!$H$6:$H$285,Sales_Ledger!$C$6:$C$285,$A22)</f>
        <v>3179011</v>
      </c>
      <c r="E22" s="44" t="n">
        <f aca="false">C22-D22</f>
        <v>1045648</v>
      </c>
      <c r="F22" s="29" t="n">
        <f aca="false">SUMIFS(Sales_Ledger!$I$6:$I$285,Sales_Ledger!$C$6:$C$285,$A22,Sales_Ledger!$K$6:$K$285,F$17)</f>
        <v>1044206</v>
      </c>
      <c r="G22" s="29" t="n">
        <f aca="false">SUMIFS(Sales_Ledger!$I$6:$I$285,Sales_Ledger!$C$6:$C$285,$A22,Sales_Ledger!$K$6:$K$285,G$17)</f>
        <v>0</v>
      </c>
      <c r="H22" s="29" t="n">
        <f aca="false">SUMIFS(Sales_Ledger!$I$6:$I$285,Sales_Ledger!$C$6:$C$285,$A22,Sales_Ledger!$K$6:$K$285,H$17)</f>
        <v>0</v>
      </c>
      <c r="I22" s="29" t="n">
        <f aca="false">SUMIFS(Sales_Ledger!$I$6:$I$285,Sales_Ledger!$C$6:$C$285,$A22,Sales_Ledger!$K$6:$K$285,I$17)</f>
        <v>1442</v>
      </c>
      <c r="J22" s="29" t="n">
        <f aca="false">SUMIFS(Sales_Ledger!$I$6:$I$285,Sales_Ledger!$C$6:$C$285,$A22,Sales_Ledger!$K$6:$K$285,J$17)</f>
        <v>0</v>
      </c>
      <c r="K22" s="30" t="n">
        <f aca="false">IF(E22=0,0,(E22-F22)/E22)</f>
        <v>0.00137904916377213</v>
      </c>
    </row>
    <row r="23" customFormat="false" ht="15" hidden="false" customHeight="false" outlineLevel="0" collapsed="false">
      <c r="A23" s="27" t="str">
        <f aca="false">Setup!A18</f>
        <v>Marwar Agencies, Jaipur</v>
      </c>
      <c r="B23" s="27" t="str">
        <f aca="false">Setup!B18</f>
        <v>West</v>
      </c>
      <c r="C23" s="29" t="n">
        <f aca="false">SUMIFS(Sales_Ledger!$E$6:$E$285,Sales_Ledger!$C$6:$C$285,$A23)</f>
        <v>2590347</v>
      </c>
      <c r="D23" s="29" t="n">
        <f aca="false">SUMIFS(Sales_Ledger!$H$6:$H$285,Sales_Ledger!$C$6:$C$285,$A23)</f>
        <v>1780891</v>
      </c>
      <c r="E23" s="44" t="n">
        <f aca="false">C23-D23</f>
        <v>809456</v>
      </c>
      <c r="F23" s="29" t="n">
        <f aca="false">SUMIFS(Sales_Ledger!$I$6:$I$285,Sales_Ledger!$C$6:$C$285,$A23,Sales_Ledger!$K$6:$K$285,F$17)</f>
        <v>482881</v>
      </c>
      <c r="G23" s="29" t="n">
        <f aca="false">SUMIFS(Sales_Ledger!$I$6:$I$285,Sales_Ledger!$C$6:$C$285,$A23,Sales_Ledger!$K$6:$K$285,G$17)</f>
        <v>326575</v>
      </c>
      <c r="H23" s="29" t="n">
        <f aca="false">SUMIFS(Sales_Ledger!$I$6:$I$285,Sales_Ledger!$C$6:$C$285,$A23,Sales_Ledger!$K$6:$K$285,H$17)</f>
        <v>0</v>
      </c>
      <c r="I23" s="29" t="n">
        <f aca="false">SUMIFS(Sales_Ledger!$I$6:$I$285,Sales_Ledger!$C$6:$C$285,$A23,Sales_Ledger!$K$6:$K$285,I$17)</f>
        <v>0</v>
      </c>
      <c r="J23" s="29" t="n">
        <f aca="false">SUMIFS(Sales_Ledger!$I$6:$I$285,Sales_Ledger!$C$6:$C$285,$A23,Sales_Ledger!$K$6:$K$285,J$17)</f>
        <v>0</v>
      </c>
      <c r="K23" s="30" t="n">
        <f aca="false">IF(E23=0,0,(E23-F23)/E23)</f>
        <v>0.403449971338776</v>
      </c>
    </row>
    <row r="24" customFormat="false" ht="15" hidden="false" customHeight="false" outlineLevel="0" collapsed="false">
      <c r="A24" s="27" t="str">
        <f aca="false">Setup!A19</f>
        <v>Yamuna Traders, Delhi</v>
      </c>
      <c r="B24" s="27" t="str">
        <f aca="false">Setup!B19</f>
        <v>North</v>
      </c>
      <c r="C24" s="29" t="n">
        <f aca="false">SUMIFS(Sales_Ledger!$E$6:$E$285,Sales_Ledger!$C$6:$C$285,$A24)</f>
        <v>7641113</v>
      </c>
      <c r="D24" s="29" t="n">
        <f aca="false">SUMIFS(Sales_Ledger!$H$6:$H$285,Sales_Ledger!$C$6:$C$285,$A24)</f>
        <v>5972885</v>
      </c>
      <c r="E24" s="44" t="n">
        <f aca="false">C24-D24</f>
        <v>1668228</v>
      </c>
      <c r="F24" s="29" t="n">
        <f aca="false">SUMIFS(Sales_Ledger!$I$6:$I$285,Sales_Ledger!$C$6:$C$285,$A24,Sales_Ledger!$K$6:$K$285,F$17)</f>
        <v>1657597</v>
      </c>
      <c r="G24" s="29" t="n">
        <f aca="false">SUMIFS(Sales_Ledger!$I$6:$I$285,Sales_Ledger!$C$6:$C$285,$A24,Sales_Ledger!$K$6:$K$285,G$17)</f>
        <v>0</v>
      </c>
      <c r="H24" s="29" t="n">
        <f aca="false">SUMIFS(Sales_Ledger!$I$6:$I$285,Sales_Ledger!$C$6:$C$285,$A24,Sales_Ledger!$K$6:$K$285,H$17)</f>
        <v>0</v>
      </c>
      <c r="I24" s="29" t="n">
        <f aca="false">SUMIFS(Sales_Ledger!$I$6:$I$285,Sales_Ledger!$C$6:$C$285,$A24,Sales_Ledger!$K$6:$K$285,I$17)</f>
        <v>2786</v>
      </c>
      <c r="J24" s="29" t="n">
        <f aca="false">SUMIFS(Sales_Ledger!$I$6:$I$285,Sales_Ledger!$C$6:$C$285,$A24,Sales_Ledger!$K$6:$K$285,J$17)</f>
        <v>7845</v>
      </c>
      <c r="K24" s="30" t="n">
        <f aca="false">IF(E24=0,0,(E24-F24)/E24)</f>
        <v>0.00637263012010349</v>
      </c>
    </row>
    <row r="25" customFormat="false" ht="15" hidden="false" customHeight="false" outlineLevel="0" collapsed="false">
      <c r="A25" s="27" t="str">
        <f aca="false">Setup!A20</f>
        <v>Satluj Foods, Ludhiana</v>
      </c>
      <c r="B25" s="27" t="str">
        <f aca="false">Setup!B20</f>
        <v>North</v>
      </c>
      <c r="C25" s="29" t="n">
        <f aca="false">SUMIFS(Sales_Ledger!$E$6:$E$285,Sales_Ledger!$C$6:$C$285,$A25)</f>
        <v>6759487</v>
      </c>
      <c r="D25" s="29" t="n">
        <f aca="false">SUMIFS(Sales_Ledger!$H$6:$H$285,Sales_Ledger!$C$6:$C$285,$A25)</f>
        <v>5187052</v>
      </c>
      <c r="E25" s="44" t="n">
        <f aca="false">C25-D25</f>
        <v>1572435</v>
      </c>
      <c r="F25" s="29" t="n">
        <f aca="false">SUMIFS(Sales_Ledger!$I$6:$I$285,Sales_Ledger!$C$6:$C$285,$A25,Sales_Ledger!$K$6:$K$285,F$17)</f>
        <v>1353803</v>
      </c>
      <c r="G25" s="29" t="n">
        <f aca="false">SUMIFS(Sales_Ledger!$I$6:$I$285,Sales_Ledger!$C$6:$C$285,$A25,Sales_Ledger!$K$6:$K$285,G$17)</f>
        <v>207841</v>
      </c>
      <c r="H25" s="29" t="n">
        <f aca="false">SUMIFS(Sales_Ledger!$I$6:$I$285,Sales_Ledger!$C$6:$C$285,$A25,Sales_Ledger!$K$6:$K$285,H$17)</f>
        <v>6223</v>
      </c>
      <c r="I25" s="29" t="n">
        <f aca="false">SUMIFS(Sales_Ledger!$I$6:$I$285,Sales_Ledger!$C$6:$C$285,$A25,Sales_Ledger!$K$6:$K$285,I$17)</f>
        <v>0</v>
      </c>
      <c r="J25" s="29" t="n">
        <f aca="false">SUMIFS(Sales_Ledger!$I$6:$I$285,Sales_Ledger!$C$6:$C$285,$A25,Sales_Ledger!$K$6:$K$285,J$17)</f>
        <v>4568</v>
      </c>
      <c r="K25" s="30" t="n">
        <f aca="false">IF(E25=0,0,(E25-F25)/E25)</f>
        <v>0.139040405485759</v>
      </c>
    </row>
    <row r="26" customFormat="false" ht="15" hidden="false" customHeight="false" outlineLevel="0" collapsed="false">
      <c r="A26" s="27" t="str">
        <f aca="false">Setup!A21</f>
        <v>Doon Distributors, Dehradun</v>
      </c>
      <c r="B26" s="27" t="str">
        <f aca="false">Setup!B21</f>
        <v>North</v>
      </c>
      <c r="C26" s="29" t="n">
        <f aca="false">SUMIFS(Sales_Ledger!$E$6:$E$285,Sales_Ledger!$C$6:$C$285,$A26)</f>
        <v>3685252</v>
      </c>
      <c r="D26" s="29" t="n">
        <f aca="false">SUMIFS(Sales_Ledger!$H$6:$H$285,Sales_Ledger!$C$6:$C$285,$A26)</f>
        <v>2617658</v>
      </c>
      <c r="E26" s="44" t="n">
        <f aca="false">C26-D26</f>
        <v>1067594</v>
      </c>
      <c r="F26" s="29" t="n">
        <f aca="false">SUMIFS(Sales_Ledger!$I$6:$I$285,Sales_Ledger!$C$6:$C$285,$A26,Sales_Ledger!$K$6:$K$285,F$17)</f>
        <v>794077</v>
      </c>
      <c r="G26" s="29" t="n">
        <f aca="false">SUMIFS(Sales_Ledger!$I$6:$I$285,Sales_Ledger!$C$6:$C$285,$A26,Sales_Ledger!$K$6:$K$285,G$17)</f>
        <v>268288</v>
      </c>
      <c r="H26" s="29" t="n">
        <f aca="false">SUMIFS(Sales_Ledger!$I$6:$I$285,Sales_Ledger!$C$6:$C$285,$A26,Sales_Ledger!$K$6:$K$285,H$17)</f>
        <v>0</v>
      </c>
      <c r="I26" s="29" t="n">
        <f aca="false">SUMIFS(Sales_Ledger!$I$6:$I$285,Sales_Ledger!$C$6:$C$285,$A26,Sales_Ledger!$K$6:$K$285,I$17)</f>
        <v>0</v>
      </c>
      <c r="J26" s="29" t="n">
        <f aca="false">SUMIFS(Sales_Ledger!$I$6:$I$285,Sales_Ledger!$C$6:$C$285,$A26,Sales_Ledger!$K$6:$K$285,J$17)</f>
        <v>5229</v>
      </c>
      <c r="K26" s="30" t="n">
        <f aca="false">IF(E26=0,0,(E26-F26)/E26)</f>
        <v>0.256199454099592</v>
      </c>
    </row>
    <row r="27" customFormat="false" ht="15" hidden="false" customHeight="false" outlineLevel="0" collapsed="false">
      <c r="A27" s="27" t="str">
        <f aca="false">Setup!A22</f>
        <v>Awadh Agencies, Lucknow</v>
      </c>
      <c r="B27" s="27" t="str">
        <f aca="false">Setup!B22</f>
        <v>North</v>
      </c>
      <c r="C27" s="29" t="n">
        <f aca="false">SUMIFS(Sales_Ledger!$E$6:$E$285,Sales_Ledger!$C$6:$C$285,$A27)</f>
        <v>4570779</v>
      </c>
      <c r="D27" s="29" t="n">
        <f aca="false">SUMIFS(Sales_Ledger!$H$6:$H$285,Sales_Ledger!$C$6:$C$285,$A27)</f>
        <v>841938</v>
      </c>
      <c r="E27" s="44" t="n">
        <f aca="false">C27-D27</f>
        <v>3728841</v>
      </c>
      <c r="F27" s="29" t="n">
        <f aca="false">SUMIFS(Sales_Ledger!$I$6:$I$285,Sales_Ledger!$C$6:$C$285,$A27,Sales_Ledger!$K$6:$K$285,F$17)</f>
        <v>775651</v>
      </c>
      <c r="G27" s="29" t="n">
        <f aca="false">SUMIFS(Sales_Ledger!$I$6:$I$285,Sales_Ledger!$C$6:$C$285,$A27,Sales_Ledger!$K$6:$K$285,G$17)</f>
        <v>669941</v>
      </c>
      <c r="H27" s="29" t="n">
        <f aca="false">SUMIFS(Sales_Ledger!$I$6:$I$285,Sales_Ledger!$C$6:$C$285,$A27,Sales_Ledger!$K$6:$K$285,H$17)</f>
        <v>771700</v>
      </c>
      <c r="I27" s="29" t="n">
        <f aca="false">SUMIFS(Sales_Ledger!$I$6:$I$285,Sales_Ledger!$C$6:$C$285,$A27,Sales_Ledger!$K$6:$K$285,I$17)</f>
        <v>0</v>
      </c>
      <c r="J27" s="29" t="n">
        <f aca="false">SUMIFS(Sales_Ledger!$I$6:$I$285,Sales_Ledger!$C$6:$C$285,$A27,Sales_Ledger!$K$6:$K$285,J$17)</f>
        <v>1511549</v>
      </c>
      <c r="K27" s="30" t="n">
        <f aca="false">IF(E27=0,0,(E27-F27)/E27)</f>
        <v>0.791986035339131</v>
      </c>
    </row>
    <row r="28" customFormat="false" ht="15" hidden="false" customHeight="false" outlineLevel="0" collapsed="false">
      <c r="A28" s="27" t="str">
        <f aca="false">Setup!A23</f>
        <v>Cauvery Foods, Bengaluru</v>
      </c>
      <c r="B28" s="27" t="str">
        <f aca="false">Setup!B23</f>
        <v>South</v>
      </c>
      <c r="C28" s="29" t="n">
        <f aca="false">SUMIFS(Sales_Ledger!$E$6:$E$285,Sales_Ledger!$C$6:$C$285,$A28)</f>
        <v>5181545</v>
      </c>
      <c r="D28" s="29" t="n">
        <f aca="false">SUMIFS(Sales_Ledger!$H$6:$H$285,Sales_Ledger!$C$6:$C$285,$A28)</f>
        <v>4043492</v>
      </c>
      <c r="E28" s="44" t="n">
        <f aca="false">C28-D28</f>
        <v>1138053</v>
      </c>
      <c r="F28" s="29" t="n">
        <f aca="false">SUMIFS(Sales_Ledger!$I$6:$I$285,Sales_Ledger!$C$6:$C$285,$A28,Sales_Ledger!$K$6:$K$285,F$17)</f>
        <v>487228</v>
      </c>
      <c r="G28" s="29" t="n">
        <f aca="false">SUMIFS(Sales_Ledger!$I$6:$I$285,Sales_Ledger!$C$6:$C$285,$A28,Sales_Ledger!$K$6:$K$285,G$17)</f>
        <v>645143</v>
      </c>
      <c r="H28" s="29" t="n">
        <f aca="false">SUMIFS(Sales_Ledger!$I$6:$I$285,Sales_Ledger!$C$6:$C$285,$A28,Sales_Ledger!$K$6:$K$285,H$17)</f>
        <v>0</v>
      </c>
      <c r="I28" s="29" t="n">
        <f aca="false">SUMIFS(Sales_Ledger!$I$6:$I$285,Sales_Ledger!$C$6:$C$285,$A28,Sales_Ledger!$K$6:$K$285,I$17)</f>
        <v>0</v>
      </c>
      <c r="J28" s="29" t="n">
        <f aca="false">SUMIFS(Sales_Ledger!$I$6:$I$285,Sales_Ledger!$C$6:$C$285,$A28,Sales_Ledger!$K$6:$K$285,J$17)</f>
        <v>5682</v>
      </c>
      <c r="K28" s="30" t="n">
        <f aca="false">IF(E28=0,0,(E28-F28)/E28)</f>
        <v>0.571875826521261</v>
      </c>
    </row>
    <row r="29" customFormat="false" ht="15" hidden="false" customHeight="false" outlineLevel="0" collapsed="false">
      <c r="A29" s="27" t="str">
        <f aca="false">Setup!A24</f>
        <v>Coromandel Traders, Chennai</v>
      </c>
      <c r="B29" s="27" t="str">
        <f aca="false">Setup!B24</f>
        <v>South</v>
      </c>
      <c r="C29" s="29" t="n">
        <f aca="false">SUMIFS(Sales_Ledger!$E$6:$E$285,Sales_Ledger!$C$6:$C$285,$A29)</f>
        <v>5033109</v>
      </c>
      <c r="D29" s="29" t="n">
        <f aca="false">SUMIFS(Sales_Ledger!$H$6:$H$285,Sales_Ledger!$C$6:$C$285,$A29)</f>
        <v>4552801</v>
      </c>
      <c r="E29" s="44" t="n">
        <f aca="false">C29-D29</f>
        <v>480308</v>
      </c>
      <c r="F29" s="29" t="n">
        <f aca="false">SUMIFS(Sales_Ledger!$I$6:$I$285,Sales_Ledger!$C$6:$C$285,$A29,Sales_Ledger!$K$6:$K$285,F$17)</f>
        <v>480308</v>
      </c>
      <c r="G29" s="29" t="n">
        <f aca="false">SUMIFS(Sales_Ledger!$I$6:$I$285,Sales_Ledger!$C$6:$C$285,$A29,Sales_Ledger!$K$6:$K$285,G$17)</f>
        <v>0</v>
      </c>
      <c r="H29" s="29" t="n">
        <f aca="false">SUMIFS(Sales_Ledger!$I$6:$I$285,Sales_Ledger!$C$6:$C$285,$A29,Sales_Ledger!$K$6:$K$285,H$17)</f>
        <v>0</v>
      </c>
      <c r="I29" s="29" t="n">
        <f aca="false">SUMIFS(Sales_Ledger!$I$6:$I$285,Sales_Ledger!$C$6:$C$285,$A29,Sales_Ledger!$K$6:$K$285,I$17)</f>
        <v>0</v>
      </c>
      <c r="J29" s="29" t="n">
        <f aca="false">SUMIFS(Sales_Ledger!$I$6:$I$285,Sales_Ledger!$C$6:$C$285,$A29,Sales_Ledger!$K$6:$K$285,J$17)</f>
        <v>0</v>
      </c>
      <c r="K29" s="30" t="n">
        <f aca="false">IF(E29=0,0,(E29-F29)/E29)</f>
        <v>0</v>
      </c>
    </row>
    <row r="30" customFormat="false" ht="15" hidden="false" customHeight="false" outlineLevel="0" collapsed="false">
      <c r="A30" s="27" t="str">
        <f aca="false">Setup!A25</f>
        <v>Krishna Distributors, Hyderabad</v>
      </c>
      <c r="B30" s="27" t="str">
        <f aca="false">Setup!B25</f>
        <v>South</v>
      </c>
      <c r="C30" s="29" t="n">
        <f aca="false">SUMIFS(Sales_Ledger!$E$6:$E$285,Sales_Ledger!$C$6:$C$285,$A30)</f>
        <v>6724024</v>
      </c>
      <c r="D30" s="29" t="n">
        <f aca="false">SUMIFS(Sales_Ledger!$H$6:$H$285,Sales_Ledger!$C$6:$C$285,$A30)</f>
        <v>5487214</v>
      </c>
      <c r="E30" s="44" t="n">
        <f aca="false">C30-D30</f>
        <v>1236810</v>
      </c>
      <c r="F30" s="29" t="n">
        <f aca="false">SUMIFS(Sales_Ledger!$I$6:$I$285,Sales_Ledger!$C$6:$C$285,$A30,Sales_Ledger!$K$6:$K$285,F$17)</f>
        <v>888264</v>
      </c>
      <c r="G30" s="29" t="n">
        <f aca="false">SUMIFS(Sales_Ledger!$I$6:$I$285,Sales_Ledger!$C$6:$C$285,$A30,Sales_Ledger!$K$6:$K$285,G$17)</f>
        <v>339390</v>
      </c>
      <c r="H30" s="29" t="n">
        <f aca="false">SUMIFS(Sales_Ledger!$I$6:$I$285,Sales_Ledger!$C$6:$C$285,$A30,Sales_Ledger!$K$6:$K$285,H$17)</f>
        <v>0</v>
      </c>
      <c r="I30" s="29" t="n">
        <f aca="false">SUMIFS(Sales_Ledger!$I$6:$I$285,Sales_Ledger!$C$6:$C$285,$A30,Sales_Ledger!$K$6:$K$285,I$17)</f>
        <v>0</v>
      </c>
      <c r="J30" s="29" t="n">
        <f aca="false">SUMIFS(Sales_Ledger!$I$6:$I$285,Sales_Ledger!$C$6:$C$285,$A30,Sales_Ledger!$K$6:$K$285,J$17)</f>
        <v>9156</v>
      </c>
      <c r="K30" s="30" t="n">
        <f aca="false">IF(E30=0,0,(E30-F30)/E30)</f>
        <v>0.2818104640163</v>
      </c>
    </row>
    <row r="31" customFormat="false" ht="15" hidden="false" customHeight="false" outlineLevel="0" collapsed="false">
      <c r="A31" s="27" t="str">
        <f aca="false">Setup!A26</f>
        <v>Periyar Agencies, Kochi</v>
      </c>
      <c r="B31" s="27" t="str">
        <f aca="false">Setup!B26</f>
        <v>South</v>
      </c>
      <c r="C31" s="29" t="n">
        <f aca="false">SUMIFS(Sales_Ledger!$E$6:$E$285,Sales_Ledger!$C$6:$C$285,$A31)</f>
        <v>2860643</v>
      </c>
      <c r="D31" s="29" t="n">
        <f aca="false">SUMIFS(Sales_Ledger!$H$6:$H$285,Sales_Ledger!$C$6:$C$285,$A31)</f>
        <v>2277163</v>
      </c>
      <c r="E31" s="44" t="n">
        <f aca="false">C31-D31</f>
        <v>583480</v>
      </c>
      <c r="F31" s="29" t="n">
        <f aca="false">SUMIFS(Sales_Ledger!$I$6:$I$285,Sales_Ledger!$C$6:$C$285,$A31,Sales_Ledger!$K$6:$K$285,F$17)</f>
        <v>344326</v>
      </c>
      <c r="G31" s="29" t="n">
        <f aca="false">SUMIFS(Sales_Ledger!$I$6:$I$285,Sales_Ledger!$C$6:$C$285,$A31,Sales_Ledger!$K$6:$K$285,G$17)</f>
        <v>196239</v>
      </c>
      <c r="H31" s="29" t="n">
        <f aca="false">SUMIFS(Sales_Ledger!$I$6:$I$285,Sales_Ledger!$C$6:$C$285,$A31,Sales_Ledger!$K$6:$K$285,H$17)</f>
        <v>42915</v>
      </c>
      <c r="I31" s="29" t="n">
        <f aca="false">SUMIFS(Sales_Ledger!$I$6:$I$285,Sales_Ledger!$C$6:$C$285,$A31,Sales_Ledger!$K$6:$K$285,I$17)</f>
        <v>0</v>
      </c>
      <c r="J31" s="29" t="n">
        <f aca="false">SUMIFS(Sales_Ledger!$I$6:$I$285,Sales_Ledger!$C$6:$C$285,$A31,Sales_Ledger!$K$6:$K$285,J$17)</f>
        <v>0</v>
      </c>
      <c r="K31" s="30" t="n">
        <f aca="false">IF(E31=0,0,(E31-F31)/E31)</f>
        <v>0.409875231370398</v>
      </c>
    </row>
    <row r="32" customFormat="false" ht="15" hidden="false" customHeight="false" outlineLevel="0" collapsed="false">
      <c r="A32" s="17" t="s">
        <v>1644</v>
      </c>
      <c r="C32" s="32" t="n">
        <f aca="false">SUM(C18:C31)</f>
        <v>71784003</v>
      </c>
      <c r="D32" s="32" t="n">
        <f aca="false">SUM(D18:D31)</f>
        <v>55034973</v>
      </c>
      <c r="E32" s="32" t="n">
        <f aca="false">SUM(E18:E31)</f>
        <v>16749030</v>
      </c>
      <c r="F32" s="32" t="n">
        <f aca="false">SUM(F18:F31)</f>
        <v>10689934</v>
      </c>
      <c r="G32" s="32" t="n">
        <f aca="false">SUM(G18:G31)</f>
        <v>3674046</v>
      </c>
      <c r="H32" s="32" t="n">
        <f aca="false">SUM(H18:H31)</f>
        <v>826290</v>
      </c>
      <c r="I32" s="32" t="n">
        <f aca="false">SUM(I18:I31)</f>
        <v>4228</v>
      </c>
      <c r="J32" s="32" t="n">
        <f aca="false">SUM(J18:J31)</f>
        <v>1554532</v>
      </c>
      <c r="K32" s="33" t="n">
        <f aca="false">IF(E32=0,0,(E32-F32)/E32)</f>
        <v>0.361758024196028</v>
      </c>
    </row>
    <row r="34" customFormat="false" ht="15" hidden="false" customHeight="false" outlineLevel="0" collapsed="false">
      <c r="A34" s="9" t="s">
        <v>68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customFormat="false" ht="15" hidden="false" customHeight="false" outlineLevel="0" collapsed="false">
      <c r="A35" s="6" t="s">
        <v>72</v>
      </c>
      <c r="B35" s="6" t="s">
        <v>73</v>
      </c>
      <c r="C35" s="6" t="s">
        <v>1643</v>
      </c>
      <c r="D35" s="6" t="s">
        <v>70</v>
      </c>
      <c r="E35" s="6" t="s">
        <v>55</v>
      </c>
      <c r="F35" s="6" t="s">
        <v>74</v>
      </c>
    </row>
    <row r="36" customFormat="false" ht="15" hidden="false" customHeight="false" outlineLevel="0" collapsed="false">
      <c r="A36" s="8" t="s">
        <v>88</v>
      </c>
      <c r="B36" s="44" t="n">
        <f aca="false">SUMIFS($C$18:$C$31,$B$18:$B$31,$A36)</f>
        <v>16172440</v>
      </c>
      <c r="C36" s="44" t="n">
        <f aca="false">SUMIFS($D$18:$D$31,$B$18:$B$31,$A36)</f>
        <v>13536651</v>
      </c>
      <c r="D36" s="44" t="n">
        <f aca="false">SUMIFS($E$18:$E$31,$B$18:$B$31,$A36)</f>
        <v>2635789</v>
      </c>
      <c r="E36" s="44" t="n">
        <f aca="false">D36-SUMIFS($F$18:$F$31,$B$18:$B$31,$A36)</f>
        <v>846697</v>
      </c>
      <c r="F36" s="30" t="n">
        <f aca="false">IF(D36=0,0,E36/D36)</f>
        <v>0.321230948304284</v>
      </c>
    </row>
    <row r="37" customFormat="false" ht="15" hidden="false" customHeight="false" outlineLevel="0" collapsed="false">
      <c r="A37" s="8" t="s">
        <v>95</v>
      </c>
      <c r="B37" s="44" t="n">
        <f aca="false">SUMIFS($C$18:$C$31,$B$18:$B$31,$A37)</f>
        <v>13155611</v>
      </c>
      <c r="C37" s="44" t="n">
        <f aca="false">SUMIFS($D$18:$D$31,$B$18:$B$31,$A37)</f>
        <v>10518119</v>
      </c>
      <c r="D37" s="44" t="n">
        <f aca="false">SUMIFS($E$18:$E$31,$B$18:$B$31,$A37)</f>
        <v>2637492</v>
      </c>
      <c r="E37" s="44" t="n">
        <f aca="false">D37-SUMIFS($F$18:$F$31,$B$18:$B$31,$A37)</f>
        <v>517904</v>
      </c>
      <c r="F37" s="30" t="n">
        <f aca="false">IF(D37=0,0,E37/D37)</f>
        <v>0.196362301762432</v>
      </c>
    </row>
    <row r="38" customFormat="false" ht="15" hidden="false" customHeight="false" outlineLevel="0" collapsed="false">
      <c r="A38" s="8" t="s">
        <v>101</v>
      </c>
      <c r="B38" s="44" t="n">
        <f aca="false">SUMIFS($C$18:$C$31,$B$18:$B$31,$A38)</f>
        <v>22656631</v>
      </c>
      <c r="C38" s="44" t="n">
        <f aca="false">SUMIFS($D$18:$D$31,$B$18:$B$31,$A38)</f>
        <v>14619533</v>
      </c>
      <c r="D38" s="44" t="n">
        <f aca="false">SUMIFS($E$18:$E$31,$B$18:$B$31,$A38)</f>
        <v>8037098</v>
      </c>
      <c r="E38" s="44" t="n">
        <f aca="false">D38-SUMIFS($F$18:$F$31,$B$18:$B$31,$A38)</f>
        <v>3455970</v>
      </c>
      <c r="F38" s="30" t="n">
        <f aca="false">IF(D38=0,0,E38/D38)</f>
        <v>0.430002222195126</v>
      </c>
    </row>
    <row r="39" customFormat="false" ht="15" hidden="false" customHeight="false" outlineLevel="0" collapsed="false">
      <c r="A39" s="8" t="s">
        <v>106</v>
      </c>
      <c r="B39" s="44" t="n">
        <f aca="false">SUMIFS($C$18:$C$31,$B$18:$B$31,$A39)</f>
        <v>19799321</v>
      </c>
      <c r="C39" s="44" t="n">
        <f aca="false">SUMIFS($D$18:$D$31,$B$18:$B$31,$A39)</f>
        <v>16360670</v>
      </c>
      <c r="D39" s="44" t="n">
        <f aca="false">SUMIFS($E$18:$E$31,$B$18:$B$31,$A39)</f>
        <v>3438651</v>
      </c>
      <c r="E39" s="44" t="n">
        <f aca="false">D39-SUMIFS($F$18:$F$31,$B$18:$B$31,$A39)</f>
        <v>1238525</v>
      </c>
      <c r="F39" s="30" t="n">
        <f aca="false">IF(D39=0,0,E39/D39)</f>
        <v>0.360177581266607</v>
      </c>
    </row>
    <row r="40" customFormat="false" ht="15" hidden="false" customHeight="false" outlineLevel="0" collapsed="false">
      <c r="A40" s="17" t="s">
        <v>1644</v>
      </c>
      <c r="B40" s="32" t="n">
        <f aca="false">SUM(B36:B39)</f>
        <v>71784003</v>
      </c>
      <c r="C40" s="32" t="n">
        <f aca="false">SUM(C36:C39)</f>
        <v>55034973</v>
      </c>
      <c r="D40" s="32" t="n">
        <f aca="false">SUM(D36:D39)</f>
        <v>16749030</v>
      </c>
      <c r="E40" s="32" t="n">
        <f aca="false">SUM(E36:E39)</f>
        <v>6059096</v>
      </c>
      <c r="F40" s="33" t="n">
        <f aca="false">IF(D40=0,0,E40/D40)</f>
        <v>0.361758024196028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6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5" t="s">
        <v>1645</v>
      </c>
    </row>
    <row r="2" customFormat="false" ht="15" hidden="false" customHeight="false" outlineLevel="0" collapsed="false">
      <c r="A2" s="16" t="s">
        <v>1646</v>
      </c>
    </row>
    <row r="3" customFormat="false" ht="15" hidden="false" customHeight="false" outlineLevel="0" collapsed="false">
      <c r="D3" s="17" t="str">
        <f aca="false">COUNTIF(F6:F25,"PASS")&amp;" of "&amp;COUNTA(F6:F25)&amp;" checks passed"</f>
        <v>18 of 18 checks passed</v>
      </c>
    </row>
    <row r="5" customFormat="false" ht="15" hidden="false" customHeight="false" outlineLevel="0" collapsed="false">
      <c r="A5" s="6" t="s">
        <v>1647</v>
      </c>
      <c r="B5" s="6" t="s">
        <v>1648</v>
      </c>
      <c r="C5" s="6" t="s">
        <v>1649</v>
      </c>
      <c r="D5" s="6" t="s">
        <v>1650</v>
      </c>
      <c r="E5" s="6" t="s">
        <v>1651</v>
      </c>
      <c r="F5" s="6" t="s">
        <v>1652</v>
      </c>
      <c r="G5" s="6" t="s">
        <v>1653</v>
      </c>
    </row>
    <row r="6" customFormat="false" ht="15" hidden="false" customHeight="false" outlineLevel="0" collapsed="false">
      <c r="A6" s="50" t="n">
        <v>1</v>
      </c>
      <c r="B6" s="8" t="s">
        <v>1654</v>
      </c>
      <c r="C6" s="8" t="s">
        <v>1655</v>
      </c>
      <c r="D6" s="51" t="n">
        <v>0</v>
      </c>
      <c r="E6" s="52" t="n">
        <f aca="false">SUMPRODUCT((COUNTIF(Sales_Ledger!$A$6:$A$285,Sales_Ledger!$A$6:$A$285)&gt;1)*1)</f>
        <v>0</v>
      </c>
      <c r="F6" s="53" t="str">
        <f aca="false">IF(ABS(E6-D6)&lt;=0.5,"PASS","REVIEW")</f>
        <v>PASS</v>
      </c>
      <c r="G6" s="47"/>
    </row>
    <row r="7" customFormat="false" ht="15" hidden="false" customHeight="false" outlineLevel="0" collapsed="false">
      <c r="A7" s="50" t="n">
        <v>2</v>
      </c>
      <c r="B7" s="8" t="s">
        <v>1654</v>
      </c>
      <c r="C7" s="8" t="s">
        <v>1656</v>
      </c>
      <c r="D7" s="51" t="n">
        <v>0</v>
      </c>
      <c r="E7" s="52" t="n">
        <f aca="false">SUMPRODUCT((COUNTIF(Setup!$A$13:$A$26,Sales_Ledger!$C$6:$C$285)=0)*1)</f>
        <v>0</v>
      </c>
      <c r="F7" s="53" t="str">
        <f aca="false">IF(ABS(E7-D7)&lt;=0.5,"PASS","REVIEW")</f>
        <v>PASS</v>
      </c>
      <c r="G7" s="47"/>
    </row>
    <row r="8" customFormat="false" ht="15" hidden="false" customHeight="false" outlineLevel="0" collapsed="false">
      <c r="A8" s="50" t="n">
        <v>3</v>
      </c>
      <c r="B8" s="8" t="s">
        <v>15</v>
      </c>
      <c r="C8" s="8" t="s">
        <v>1657</v>
      </c>
      <c r="D8" s="51" t="n">
        <v>0</v>
      </c>
      <c r="E8" s="52" t="n">
        <f aca="false">SUMPRODUCT((COUNTIF(Sales_Ledger!$A$6:$A$285,Collections!$C$6:$C$239)=0)*1)</f>
        <v>0</v>
      </c>
      <c r="F8" s="53" t="str">
        <f aca="false">IF(ABS(E8-D8)&lt;=0.5,"PASS","REVIEW")</f>
        <v>PASS</v>
      </c>
      <c r="G8" s="47"/>
    </row>
    <row r="9" customFormat="false" ht="15" hidden="false" customHeight="false" outlineLevel="0" collapsed="false">
      <c r="A9" s="50" t="n">
        <v>4</v>
      </c>
      <c r="B9" s="8" t="s">
        <v>15</v>
      </c>
      <c r="C9" s="8" t="s">
        <v>1658</v>
      </c>
      <c r="D9" s="51" t="n">
        <v>0</v>
      </c>
      <c r="E9" s="52" t="n">
        <f aca="false">SUMPRODUCT((Collections!$B$6:$B$239&lt;Collections!$H$6:$H$239)*1)</f>
        <v>0</v>
      </c>
      <c r="F9" s="53" t="str">
        <f aca="false">IF(ABS(E9-D9)&lt;=0.5,"PASS","REVIEW")</f>
        <v>PASS</v>
      </c>
      <c r="G9" s="47"/>
    </row>
    <row r="10" customFormat="false" ht="15" hidden="false" customHeight="false" outlineLevel="0" collapsed="false">
      <c r="A10" s="50" t="n">
        <v>5</v>
      </c>
      <c r="B10" s="8" t="s">
        <v>15</v>
      </c>
      <c r="C10" s="8" t="s">
        <v>1659</v>
      </c>
      <c r="D10" s="51" t="n">
        <v>0</v>
      </c>
      <c r="E10" s="52" t="n">
        <f aca="false">COUNTIF(Sales_Ledger!$I$6:$I$285,"&lt;"&amp;-Setup!$B$9)</f>
        <v>0</v>
      </c>
      <c r="F10" s="53" t="str">
        <f aca="false">IF(ABS(E10-D10)&lt;=0.5,"PASS","REVIEW")</f>
        <v>PASS</v>
      </c>
      <c r="G10" s="47"/>
    </row>
    <row r="11" customFormat="false" ht="15" hidden="false" customHeight="false" outlineLevel="0" collapsed="false">
      <c r="A11" s="50" t="n">
        <v>6</v>
      </c>
      <c r="B11" s="8" t="s">
        <v>23</v>
      </c>
      <c r="C11" s="8" t="s">
        <v>1660</v>
      </c>
      <c r="D11" s="51" t="n">
        <v>0</v>
      </c>
      <c r="E11" s="52" t="n">
        <f aca="false">ABS(Receivables!B10-SUM(Sales_Ledger!$I$6:$I$285))</f>
        <v>0</v>
      </c>
      <c r="F11" s="53" t="str">
        <f aca="false">IF(ABS(E11-D11)&lt;=0.5,"PASS","REVIEW")</f>
        <v>PASS</v>
      </c>
      <c r="G11" s="47"/>
    </row>
    <row r="12" customFormat="false" ht="15" hidden="false" customHeight="false" outlineLevel="0" collapsed="false">
      <c r="A12" s="50" t="n">
        <v>7</v>
      </c>
      <c r="B12" s="8" t="s">
        <v>23</v>
      </c>
      <c r="C12" s="8" t="s">
        <v>1661</v>
      </c>
      <c r="D12" s="51" t="n">
        <v>0</v>
      </c>
      <c r="E12" s="52" t="n">
        <f aca="false">ABS(Receivables!E32-Receivables!B10)</f>
        <v>0</v>
      </c>
      <c r="F12" s="53" t="str">
        <f aca="false">IF(ABS(E12-D12)&lt;=0.5,"PASS","REVIEW")</f>
        <v>PASS</v>
      </c>
      <c r="G12" s="47"/>
    </row>
    <row r="13" customFormat="false" ht="15" hidden="false" customHeight="false" outlineLevel="0" collapsed="false">
      <c r="A13" s="50" t="n">
        <v>8</v>
      </c>
      <c r="B13" s="8" t="s">
        <v>23</v>
      </c>
      <c r="C13" s="8" t="s">
        <v>1662</v>
      </c>
      <c r="D13" s="51" t="n">
        <v>0</v>
      </c>
      <c r="E13" s="52" t="n">
        <f aca="false">ABS(Receivables!D40-Receivables!B10)</f>
        <v>0</v>
      </c>
      <c r="F13" s="53" t="str">
        <f aca="false">IF(ABS(E13-D13)&lt;=0.5,"PASS","REVIEW")</f>
        <v>PASS</v>
      </c>
      <c r="G13" s="47"/>
    </row>
    <row r="14" customFormat="false" ht="15" hidden="false" customHeight="false" outlineLevel="0" collapsed="false">
      <c r="A14" s="50" t="n">
        <v>9</v>
      </c>
      <c r="B14" s="8" t="s">
        <v>9</v>
      </c>
      <c r="C14" s="8" t="s">
        <v>1663</v>
      </c>
      <c r="D14" s="51" t="n">
        <v>0</v>
      </c>
      <c r="E14" s="52" t="n">
        <f aca="false">ABS(Dashboard!C30-SUMIFS(Sales_Ledger!$E$6:$E$285,Sales_Ledger!$B$6:$B$285,"&gt;="&amp;Setup!$B$6,Sales_Ledger!$B$6:$B$285,"&lt;="&amp;Setup!$B$5))</f>
        <v>0</v>
      </c>
      <c r="F14" s="53" t="str">
        <f aca="false">IF(ABS(E14-D14)&lt;=0.5,"PASS","REVIEW")</f>
        <v>PASS</v>
      </c>
      <c r="G14" s="47"/>
    </row>
    <row r="15" customFormat="false" ht="15" hidden="false" customHeight="false" outlineLevel="0" collapsed="false">
      <c r="A15" s="50" t="n">
        <v>10</v>
      </c>
      <c r="B15" s="8" t="s">
        <v>9</v>
      </c>
      <c r="C15" s="8" t="s">
        <v>1664</v>
      </c>
      <c r="D15" s="51" t="n">
        <v>0</v>
      </c>
      <c r="E15" s="52" t="n">
        <f aca="false">ABS(Dashboard!D30-SUM(Collections!$E$6:$E$239))</f>
        <v>0</v>
      </c>
      <c r="F15" s="53" t="str">
        <f aca="false">IF(ABS(E15-D15)&lt;=0.5,"PASS","REVIEW")</f>
        <v>PASS</v>
      </c>
      <c r="G15" s="47"/>
    </row>
    <row r="16" customFormat="false" ht="15" hidden="false" customHeight="false" outlineLevel="0" collapsed="false">
      <c r="A16" s="50" t="n">
        <v>11</v>
      </c>
      <c r="B16" s="8" t="s">
        <v>9</v>
      </c>
      <c r="C16" s="8" t="s">
        <v>1665</v>
      </c>
      <c r="D16" s="51" t="n">
        <v>0</v>
      </c>
      <c r="E16" s="52" t="n">
        <f aca="false">ABS(Dashboard!F29-Receivables!B10)</f>
        <v>0</v>
      </c>
      <c r="F16" s="53" t="str">
        <f aca="false">IF(ABS(E16-D16)&lt;=0.5,"PASS","REVIEW")</f>
        <v>PASS</v>
      </c>
      <c r="G16" s="47"/>
    </row>
    <row r="17" customFormat="false" ht="15" hidden="false" customHeight="false" outlineLevel="0" collapsed="false">
      <c r="A17" s="50" t="n">
        <v>12</v>
      </c>
      <c r="B17" s="8" t="s">
        <v>1666</v>
      </c>
      <c r="C17" s="8" t="s">
        <v>1667</v>
      </c>
      <c r="D17" s="51" t="n">
        <v>0</v>
      </c>
      <c r="E17" s="52" t="n">
        <f aca="false">ABS(SUMPRODUCT(SUMIFS(Cash_Book!$E$6:$E$304,Cash_Book!$G$6:$G$304,Collections!$G$6:$G$239))-SUM(Collections!$E$6:$E$239))</f>
        <v>0</v>
      </c>
      <c r="F17" s="53" t="str">
        <f aca="false">IF(ABS(E17-D17)&lt;=0.5,"PASS","REVIEW")</f>
        <v>PASS</v>
      </c>
      <c r="G17" s="47" t="s">
        <v>1668</v>
      </c>
    </row>
    <row r="18" customFormat="false" ht="15" hidden="false" customHeight="false" outlineLevel="0" collapsed="false">
      <c r="A18" s="50" t="n">
        <v>13</v>
      </c>
      <c r="B18" s="8" t="s">
        <v>1666</v>
      </c>
      <c r="C18" s="8" t="s">
        <v>1669</v>
      </c>
      <c r="D18" s="51" t="n">
        <v>0</v>
      </c>
      <c r="E18" s="52" t="n">
        <f aca="false">SUMPRODUCT((COUNTIF(Cash_Book!$G$6:$G$304,Cash_Book!$G$6:$G$304)&gt;1)*1)</f>
        <v>0</v>
      </c>
      <c r="F18" s="53" t="str">
        <f aca="false">IF(ABS(E18-D18)&lt;=0.5,"PASS","REVIEW")</f>
        <v>PASS</v>
      </c>
      <c r="G18" s="47"/>
    </row>
    <row r="19" customFormat="false" ht="15" hidden="false" customHeight="false" outlineLevel="0" collapsed="false">
      <c r="A19" s="50" t="n">
        <v>14</v>
      </c>
      <c r="B19" s="8" t="s">
        <v>1621</v>
      </c>
      <c r="C19" s="8" t="s">
        <v>1670</v>
      </c>
      <c r="D19" s="51" t="n">
        <v>0</v>
      </c>
      <c r="E19" s="52" t="n">
        <f aca="false">SUMPRODUCT((COUNTIF(Bank_Statement!$C$6:$C$303,Bank_Statement!$C$6:$C$303)&gt;1)*1)</f>
        <v>0</v>
      </c>
      <c r="F19" s="53" t="str">
        <f aca="false">IF(ABS(E19-D19)&lt;=0.5,"PASS","REVIEW")</f>
        <v>PASS</v>
      </c>
      <c r="G19" s="47"/>
    </row>
    <row r="20" customFormat="false" ht="15" hidden="false" customHeight="false" outlineLevel="0" collapsed="false">
      <c r="A20" s="50" t="n">
        <v>15</v>
      </c>
      <c r="B20" s="8" t="s">
        <v>1621</v>
      </c>
      <c r="C20" s="8" t="s">
        <v>1671</v>
      </c>
      <c r="D20" s="51" t="n">
        <v>0</v>
      </c>
      <c r="E20" s="52" t="n">
        <f aca="false">ABS(Bank_Statement!G303-(Setup!$B$8+SUM(Bank_Statement!$E$6:$E$303)-SUM(Bank_Statement!$D$6:$D$303)))</f>
        <v>0</v>
      </c>
      <c r="F20" s="53" t="str">
        <f aca="false">IF(ABS(E20-D20)&lt;=0.5,"PASS","REVIEW")</f>
        <v>PASS</v>
      </c>
      <c r="G20" s="47"/>
    </row>
    <row r="21" customFormat="false" ht="15" hidden="false" customHeight="false" outlineLevel="0" collapsed="false">
      <c r="A21" s="50" t="n">
        <v>16</v>
      </c>
      <c r="B21" s="8" t="s">
        <v>1621</v>
      </c>
      <c r="C21" s="8" t="s">
        <v>1672</v>
      </c>
      <c r="D21" s="51" t="n">
        <v>0</v>
      </c>
      <c r="E21" s="52" t="n">
        <f aca="false">ABS(Bank_Recon!B14)</f>
        <v>0</v>
      </c>
      <c r="F21" s="53" t="str">
        <f aca="false">IF(ABS(E21-D21)&lt;=0.5,"PASS","REVIEW")</f>
        <v>PASS</v>
      </c>
      <c r="G21" s="47" t="s">
        <v>1673</v>
      </c>
    </row>
    <row r="22" customFormat="false" ht="15" hidden="false" customHeight="false" outlineLevel="0" collapsed="false">
      <c r="A22" s="50" t="n">
        <v>17</v>
      </c>
      <c r="B22" s="8" t="s">
        <v>1621</v>
      </c>
      <c r="C22" s="8" t="s">
        <v>1674</v>
      </c>
      <c r="D22" s="51" t="n">
        <v>0</v>
      </c>
      <c r="E22" s="52" t="n">
        <f aca="false">COUNTA(Cash_Book!$G$6:$G$304)-Bank_Recon!B18-Bank_Recon!B19-Bank_Recon!B20-Bank_Recon!B21</f>
        <v>0</v>
      </c>
      <c r="F22" s="53" t="str">
        <f aca="false">IF(ABS(E22-D22)&lt;=0.5,"PASS","REVIEW")</f>
        <v>PASS</v>
      </c>
      <c r="G22" s="47"/>
    </row>
    <row r="23" customFormat="false" ht="15" hidden="false" customHeight="false" outlineLevel="0" collapsed="false">
      <c r="A23" s="50" t="n">
        <v>18</v>
      </c>
      <c r="B23" s="8" t="s">
        <v>1621</v>
      </c>
      <c r="C23" s="8" t="s">
        <v>1675</v>
      </c>
      <c r="D23" s="51" t="n">
        <v>0</v>
      </c>
      <c r="E23" s="52" t="n">
        <f aca="false">COUNTA(Bank_Statement!$C$6:$C$303)-COUNTIF(Bank_Statement!$I$6:$I$303,"In books")-Bank_Recon!B22-Bank_Recon!B23</f>
        <v>0</v>
      </c>
      <c r="F23" s="53" t="str">
        <f aca="false">IF(ABS(E23-D23)&lt;=0.5,"PASS","REVIEW")</f>
        <v>PASS</v>
      </c>
      <c r="G23" s="47"/>
    </row>
  </sheetData>
  <conditionalFormatting sqref="F6:F25">
    <cfRule type="expression" priority="2" aboveAverage="0" equalAverage="0" bottom="0" percent="0" rank="0" text="" dxfId="11">
      <formula>F6="PASS"</formula>
    </cfRule>
    <cfRule type="expression" priority="3" aboveAverage="0" equalAverage="0" bottom="0" percent="0" rank="0" text="" dxfId="9">
      <formula>F6="REVIEW"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2026-10-04T06:49:32Z</dcterms:created>
  <dc:creator>openpyxl</dc:creator>
  <dc:description/>
  <dc:language>en-US</dc:language>
  <cp:lastModifiedBy/>
  <dcterms:modified xsi:type="dcterms:W3CDTF">2026-10-04T06:49:36Z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